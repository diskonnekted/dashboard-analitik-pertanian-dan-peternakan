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CAA9E0C-275B-4452-8CF7-3597BA31577C}" xr6:coauthVersionLast="47" xr6:coauthVersionMax="47" xr10:uidLastSave="{00000000-0000-0000-0000-000000000000}"/>
  <bookViews>
    <workbookView xWindow="28680" yWindow="-120" windowWidth="29040" windowHeight="15720" xr2:uid="{D8283C7F-0CFB-453A-885A-672130725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F29" i="1"/>
  <c r="E29" i="1"/>
  <c r="D29" i="1"/>
  <c r="G14" i="1"/>
  <c r="G29" i="1" s="1"/>
</calcChain>
</file>

<file path=xl/sharedStrings.xml><?xml version="1.0" encoding="utf-8"?>
<sst xmlns="http://schemas.openxmlformats.org/spreadsheetml/2006/main" count="66" uniqueCount="66">
  <si>
    <t>Jumlah (Perkiraan) Ternak yang Dipotong di Luar RPH</t>
  </si>
  <si>
    <t>Tabel : 5.4.5.</t>
  </si>
  <si>
    <t>Table</t>
  </si>
  <si>
    <t>Menurut Kecamatan dan Jenis Ternak</t>
  </si>
  <si>
    <t>Di Kabupaten Banjarnegara Tahun 2024</t>
  </si>
  <si>
    <t>Estimation Number of Cutlle Slaughtered Outside of Slaughteredhouse</t>
  </si>
  <si>
    <t xml:space="preserve"> by Subdistrict and Kind of Cuttle in Banjarnegara 2024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</si>
  <si>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</si>
  <si>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</si>
  <si>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     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</si>
  <si>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</si>
  <si>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Babi              </t>
    </r>
    <r>
      <rPr>
        <i/>
        <sz val="11"/>
        <color theme="1"/>
        <rFont val="Calibri"/>
        <family val="2"/>
      </rPr>
      <t>Pig</t>
    </r>
  </si>
  <si>
    <r>
      <t xml:space="preserve">Kambing   </t>
    </r>
    <r>
      <rPr>
        <i/>
        <sz val="11"/>
        <color theme="1"/>
        <rFont val="Calibri"/>
        <family val="2"/>
      </rPr>
      <t>Goat</t>
    </r>
  </si>
  <si>
    <r>
      <t xml:space="preserve">Domba    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</si>
  <si>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</si>
  <si>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</si>
  <si>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</si>
  <si>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</si>
  <si>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</si>
  <si>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</si>
  <si>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</si>
  <si>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</si>
  <si>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</si>
  <si>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</si>
  <si>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</si>
  <si>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</si>
  <si>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</si>
  <si>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</si>
  <si>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</si>
  <si>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</si>
  <si>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</si>
  <si>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</si>
  <si>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</si>
  <si>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</si>
  <si>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</si>
  <si>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</si>
  <si>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</si>
  <si>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</si>
  <si>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</si>
  <si>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</si>
  <si>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</si>
  <si>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</si>
  <si>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</si>
  <si>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</si>
  <si>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</si>
  <si>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</si>
  <si>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</si>
  <si>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</si>
  <si>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</si>
  <si>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</si>
  <si>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</si>
  <si>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</si>
  <si>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</si>
  <si>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</si>
  <si>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</si>
  <si>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</si>
  <si>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</si>
  <si>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</si>
  <si>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</si>
  <si>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</si>
  <si>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</si>
  <si>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2020</t>
  </si>
  <si>
    <t>Tahun 2023</t>
  </si>
  <si>
    <t>Tahun 2022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</si>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</sst>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_-;\-* #,##0.00_-;_-* &quot;-&quot;_-;_-@_-"/>
    <numFmt numFmtId="165" formatCode="_(* #,##0.00_);_(* \(#,##0.00\);_(* &quot;-&quot;??_);_(@_)"/>
    <numFmt numFmtId="166" formatCode="_-* #,##0.0_-;\-* #,##0.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41">
    <xf numFmtId="0" fontId="0" fillId="0" borderId="0" xfId="0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7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164" fontId="8" fillId="0" borderId="3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6" fontId="4" fillId="0" borderId="0" xfId="4" applyNumberFormat="1" applyFont="1" applyAlignment="1">
      <alignment horizontal="center" vertical="center" wrapText="1"/>
    </xf>
    <xf numFmtId="164" fontId="4" fillId="0" borderId="4" xfId="2" quotePrefix="1" applyNumberFormat="1" applyFont="1" applyBorder="1" applyAlignment="1">
      <alignment horizontal="center" vertical="center"/>
    </xf>
    <xf numFmtId="164" fontId="8" fillId="0" borderId="4" xfId="2" applyNumberFormat="1" applyFont="1" applyBorder="1"/>
    <xf numFmtId="164" fontId="4" fillId="0" borderId="4" xfId="2" quotePrefix="1" applyNumberFormat="1" applyFont="1" applyBorder="1" applyAlignment="1">
      <alignment horizontal="center" vertical="center"/>
    </xf>
    <xf numFmtId="166" fontId="4" fillId="0" borderId="4" xfId="4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6" fontId="0" fillId="0" borderId="0" xfId="4" applyNumberFormat="1" applyFont="1"/>
    <xf numFmtId="164" fontId="4" fillId="0" borderId="0" xfId="2" applyNumberFormat="1" applyFont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left" vertical="center"/>
    </xf>
    <xf numFmtId="164" fontId="4" fillId="0" borderId="4" xfId="2" applyNumberFormat="1" applyFont="1" applyBorder="1" applyAlignment="1">
      <alignment horizontal="right"/>
    </xf>
    <xf numFmtId="166" fontId="0" fillId="0" borderId="4" xfId="4" applyNumberFormat="1" applyFont="1" applyBorder="1"/>
    <xf numFmtId="164" fontId="4" fillId="0" borderId="0" xfId="2" applyNumberFormat="1" applyFont="1" applyBorder="1" applyAlignment="1">
      <alignment horizontal="center" vertical="center"/>
    </xf>
    <xf numFmtId="164" fontId="4" fillId="0" borderId="0" xfId="2" applyNumberFormat="1" applyFont="1" applyBorder="1" applyAlignment="1">
      <alignment vertical="center"/>
    </xf>
    <xf numFmtId="164" fontId="4" fillId="0" borderId="0" xfId="2" applyNumberFormat="1" applyFont="1" applyBorder="1" applyAlignment="1">
      <alignment horizontal="left" vertical="center"/>
    </xf>
    <xf numFmtId="164" fontId="4" fillId="0" borderId="0" xfId="2" applyNumberFormat="1" applyFont="1" applyBorder="1" applyAlignment="1">
      <alignment horizontal="right"/>
    </xf>
    <xf numFmtId="166" fontId="0" fillId="0" borderId="0" xfId="4" applyNumberFormat="1" applyFont="1" applyBorder="1"/>
    <xf numFmtId="165" fontId="4" fillId="0" borderId="0" xfId="4" applyFont="1" applyBorder="1" applyAlignment="1">
      <alignment horizontal="right"/>
    </xf>
    <xf numFmtId="165" fontId="0" fillId="0" borderId="0" xfId="4" applyFont="1"/>
    <xf numFmtId="164" fontId="8" fillId="0" borderId="0" xfId="2" applyNumberFormat="1" applyFont="1" applyBorder="1" applyAlignment="1"/>
    <xf numFmtId="166" fontId="4" fillId="0" borderId="0" xfId="4" applyNumberFormat="1" applyFont="1" applyBorder="1" applyAlignment="1">
      <alignment horizontal="right"/>
    </xf>
    <xf numFmtId="166" fontId="4" fillId="0" borderId="0" xfId="4" applyNumberFormat="1" applyFont="1" applyBorder="1" applyAlignment="1">
      <alignment horizontal="left" vertical="center"/>
    </xf>
    <xf numFmtId="165" fontId="4" fillId="0" borderId="0" xfId="4" applyFont="1" applyBorder="1" applyAlignment="1">
      <alignment horizontal="left" vertical="center"/>
    </xf>
    <xf numFmtId="164" fontId="4" fillId="0" borderId="1" xfId="2" applyNumberFormat="1" applyFont="1" applyBorder="1" applyAlignment="1">
      <alignment horizontal="left"/>
    </xf>
  </cellXfs>
  <cellStyles count="5">
    <cellStyle name="Comma [0] 2 2" xfId="3" xr:uid="{0BC92BA1-7596-4B1B-BB78-C28CC54DCDD1}"/>
    <cellStyle name="Comma [0] 3" xfId="2" xr:uid="{89E6D0D2-DB19-43A9-B327-94A763B124F2}"/>
    <cellStyle name="Comma 2" xfId="4" xr:uid="{7C183A7B-71AF-4F71-A7D0-C67DB230BC0F}"/>
    <cellStyle name="Normal" xfId="0" builtinId="0"/>
    <cellStyle name="Normal 4" xfId="1" xr:uid="{F77E346B-8710-4869-8369-AF1F2ECD60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09C3-B04F-459A-9E0A-4D33A0FA0A39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7.44140625" style="5" bestFit="1" customWidth="1"/>
    <col min="2" max="2" width="13.21875" style="5" customWidth="1"/>
    <col min="3" max="3" width="4" style="5" customWidth="1"/>
    <col min="4" max="16384" width="14.44140625" style="5"/>
  </cols>
  <sheetData>
    <row r="1" spans="1:8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</row>
    <row r="2" spans="1:8" ht="12.75" customHeight="1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7"/>
      <c r="B3" s="7"/>
      <c r="C3" s="3" t="s">
        <v>4</v>
      </c>
      <c r="D3" s="2"/>
      <c r="E3" s="2"/>
      <c r="F3" s="2"/>
      <c r="G3" s="2"/>
      <c r="H3" s="2"/>
    </row>
    <row r="4" spans="1:8" ht="12.75" customHeight="1" x14ac:dyDescent="0.3">
      <c r="A4" s="7"/>
      <c r="B4" s="7"/>
      <c r="C4" s="8" t="s">
        <v>5</v>
      </c>
      <c r="D4" s="2"/>
      <c r="E4" s="2"/>
      <c r="F4" s="2"/>
      <c r="G4" s="2"/>
      <c r="H4" s="2"/>
    </row>
    <row r="5" spans="1:8" ht="12.75" customHeight="1" thickBot="1" x14ac:dyDescent="0.35">
      <c r="A5" s="4"/>
      <c r="B5" s="4"/>
      <c r="C5" s="8" t="s">
        <v>6</v>
      </c>
      <c r="D5" s="2"/>
      <c r="E5" s="2"/>
      <c r="F5" s="2"/>
      <c r="G5" s="2"/>
      <c r="H5" s="2"/>
    </row>
    <row r="6" spans="1:8" ht="27" customHeight="1" thickTop="1" x14ac:dyDescent="0.3">
      <c r="A6" s="9" t="s">
        <v>7</v>
      </c>
      <c r="B6" s="10"/>
      <c r="C6" s="10"/>
      <c r="D6" s="11" t="s">
        <v>8</v>
      </c>
      <c r="E6" s="12"/>
      <c r="F6" s="12"/>
      <c r="G6" s="12"/>
      <c r="H6" s="12"/>
    </row>
    <row r="7" spans="1:8" ht="28.5" customHeight="1" x14ac:dyDescent="0.25">
      <c r="A7" s="13"/>
      <c r="B7" s="13"/>
      <c r="C7" s="13"/>
      <c r="D7" s="14" t="s">
        <v>9</v>
      </c>
      <c r="E7" s="14" t="s">
        <v>10</v>
      </c>
      <c r="F7" s="14" t="s">
        <v>11</v>
      </c>
      <c r="G7" s="15" t="s">
        <v>12</v>
      </c>
      <c r="H7" s="14" t="s">
        <v>13</v>
      </c>
    </row>
    <row r="8" spans="1:8" ht="14.4" x14ac:dyDescent="0.3">
      <c r="A8" s="16" t="s">
        <v>14</v>
      </c>
      <c r="B8" s="17"/>
      <c r="C8" s="17"/>
      <c r="D8" s="18" t="s">
        <v>15</v>
      </c>
      <c r="E8" s="18" t="s">
        <v>16</v>
      </c>
      <c r="F8" s="18" t="s">
        <v>17</v>
      </c>
      <c r="G8" s="19" t="s">
        <v>18</v>
      </c>
      <c r="H8" s="18" t="s">
        <v>19</v>
      </c>
    </row>
    <row r="9" spans="1:8" ht="14.4" x14ac:dyDescent="0.3">
      <c r="A9" s="20" t="s">
        <v>20</v>
      </c>
      <c r="B9" s="21" t="s">
        <v>21</v>
      </c>
      <c r="C9" s="21"/>
      <c r="D9" s="22">
        <v>98</v>
      </c>
      <c r="E9" s="22">
        <v>0</v>
      </c>
      <c r="F9" s="22">
        <v>0</v>
      </c>
      <c r="G9" s="23">
        <v>329</v>
      </c>
      <c r="H9" s="22">
        <v>49</v>
      </c>
    </row>
    <row r="10" spans="1:8" ht="14.4" x14ac:dyDescent="0.3">
      <c r="A10" s="20" t="s">
        <v>22</v>
      </c>
      <c r="B10" s="21" t="s">
        <v>23</v>
      </c>
      <c r="C10" s="21"/>
      <c r="D10" s="22">
        <v>93</v>
      </c>
      <c r="E10" s="22">
        <v>0</v>
      </c>
      <c r="F10" s="22">
        <v>0</v>
      </c>
      <c r="G10" s="23">
        <v>586</v>
      </c>
      <c r="H10" s="22">
        <v>33</v>
      </c>
    </row>
    <row r="11" spans="1:8" ht="14.4" x14ac:dyDescent="0.3">
      <c r="A11" s="20" t="s">
        <v>24</v>
      </c>
      <c r="B11" s="21" t="s">
        <v>25</v>
      </c>
      <c r="C11" s="21"/>
      <c r="D11" s="22">
        <v>179</v>
      </c>
      <c r="E11" s="22">
        <v>0</v>
      </c>
      <c r="F11" s="22">
        <v>0</v>
      </c>
      <c r="G11" s="23">
        <v>636</v>
      </c>
      <c r="H11" s="22">
        <v>90</v>
      </c>
    </row>
    <row r="12" spans="1:8" ht="14.4" x14ac:dyDescent="0.3">
      <c r="A12" s="20" t="s">
        <v>26</v>
      </c>
      <c r="B12" s="21" t="s">
        <v>27</v>
      </c>
      <c r="C12" s="21"/>
      <c r="D12" s="22">
        <v>397</v>
      </c>
      <c r="E12" s="22">
        <v>0</v>
      </c>
      <c r="F12" s="22">
        <v>0</v>
      </c>
      <c r="G12" s="23">
        <v>398</v>
      </c>
      <c r="H12" s="22">
        <v>160</v>
      </c>
    </row>
    <row r="13" spans="1:8" ht="14.4" x14ac:dyDescent="0.3">
      <c r="A13" s="20" t="s">
        <v>28</v>
      </c>
      <c r="B13" s="21" t="s">
        <v>29</v>
      </c>
      <c r="C13" s="21"/>
      <c r="D13" s="22">
        <v>350</v>
      </c>
      <c r="E13" s="22">
        <v>0</v>
      </c>
      <c r="F13" s="22">
        <v>0</v>
      </c>
      <c r="G13" s="23">
        <v>381</v>
      </c>
      <c r="H13" s="22">
        <v>153</v>
      </c>
    </row>
    <row r="14" spans="1:8" ht="14.4" x14ac:dyDescent="0.3">
      <c r="A14" s="20" t="s">
        <v>30</v>
      </c>
      <c r="B14" s="21" t="s">
        <v>31</v>
      </c>
      <c r="C14" s="21"/>
      <c r="D14" s="22">
        <v>410</v>
      </c>
      <c r="E14" s="22">
        <v>0</v>
      </c>
      <c r="F14" s="22">
        <v>0</v>
      </c>
      <c r="G14" s="23">
        <f>491+5</f>
        <v>496</v>
      </c>
      <c r="H14" s="22">
        <v>185</v>
      </c>
    </row>
    <row r="15" spans="1:8" ht="14.4" x14ac:dyDescent="0.3">
      <c r="A15" s="20" t="s">
        <v>32</v>
      </c>
      <c r="B15" s="21" t="s">
        <v>33</v>
      </c>
      <c r="C15" s="21"/>
      <c r="D15" s="22">
        <v>143</v>
      </c>
      <c r="E15" s="22">
        <v>0</v>
      </c>
      <c r="F15" s="22">
        <v>0</v>
      </c>
      <c r="G15" s="23">
        <v>355</v>
      </c>
      <c r="H15" s="22">
        <v>67</v>
      </c>
    </row>
    <row r="16" spans="1:8" ht="14.4" x14ac:dyDescent="0.3">
      <c r="A16" s="20" t="s">
        <v>34</v>
      </c>
      <c r="B16" s="21" t="s">
        <v>35</v>
      </c>
      <c r="C16" s="21"/>
      <c r="D16" s="22">
        <v>188</v>
      </c>
      <c r="E16" s="22">
        <v>0</v>
      </c>
      <c r="F16" s="22">
        <v>0</v>
      </c>
      <c r="G16" s="23">
        <v>258</v>
      </c>
      <c r="H16" s="22">
        <v>69</v>
      </c>
    </row>
    <row r="17" spans="1:8" ht="14.4" x14ac:dyDescent="0.3">
      <c r="A17" s="20" t="s">
        <v>36</v>
      </c>
      <c r="B17" s="21" t="s">
        <v>37</v>
      </c>
      <c r="C17" s="21"/>
      <c r="D17" s="22">
        <v>252</v>
      </c>
      <c r="E17" s="22">
        <v>0</v>
      </c>
      <c r="F17" s="22">
        <v>0</v>
      </c>
      <c r="G17" s="23">
        <v>368</v>
      </c>
      <c r="H17" s="22">
        <v>93</v>
      </c>
    </row>
    <row r="18" spans="1:8" ht="14.4" x14ac:dyDescent="0.3">
      <c r="A18" s="20" t="s">
        <v>38</v>
      </c>
      <c r="B18" s="21" t="s">
        <v>39</v>
      </c>
      <c r="C18" s="21"/>
      <c r="D18" s="22">
        <v>328</v>
      </c>
      <c r="E18" s="22">
        <v>0</v>
      </c>
      <c r="F18" s="22">
        <v>0</v>
      </c>
      <c r="G18" s="23">
        <v>188</v>
      </c>
      <c r="H18" s="22">
        <v>66</v>
      </c>
    </row>
    <row r="19" spans="1:8" ht="14.4" x14ac:dyDescent="0.3">
      <c r="A19" s="24" t="s">
        <v>40</v>
      </c>
      <c r="B19" s="21" t="s">
        <v>41</v>
      </c>
      <c r="C19" s="21"/>
      <c r="D19" s="22">
        <v>376</v>
      </c>
      <c r="E19" s="22">
        <v>0</v>
      </c>
      <c r="F19" s="22">
        <v>0</v>
      </c>
      <c r="G19" s="23">
        <v>294</v>
      </c>
      <c r="H19" s="22">
        <v>70</v>
      </c>
    </row>
    <row r="20" spans="1:8" ht="14.4" x14ac:dyDescent="0.3">
      <c r="A20" s="24" t="s">
        <v>42</v>
      </c>
      <c r="B20" s="21" t="s">
        <v>43</v>
      </c>
      <c r="C20" s="21"/>
      <c r="D20" s="22">
        <v>220</v>
      </c>
      <c r="E20" s="22">
        <v>0</v>
      </c>
      <c r="F20" s="22">
        <v>0</v>
      </c>
      <c r="G20" s="23">
        <v>331</v>
      </c>
      <c r="H20" s="22">
        <v>65</v>
      </c>
    </row>
    <row r="21" spans="1:8" ht="14.4" x14ac:dyDescent="0.3">
      <c r="A21" s="24" t="s">
        <v>44</v>
      </c>
      <c r="B21" s="21" t="s">
        <v>45</v>
      </c>
      <c r="C21" s="21"/>
      <c r="D21" s="22">
        <v>598</v>
      </c>
      <c r="E21" s="22">
        <v>0</v>
      </c>
      <c r="F21" s="22">
        <v>0</v>
      </c>
      <c r="G21" s="23">
        <v>755</v>
      </c>
      <c r="H21" s="22">
        <v>68</v>
      </c>
    </row>
    <row r="22" spans="1:8" ht="14.4" x14ac:dyDescent="0.3">
      <c r="A22" s="24" t="s">
        <v>46</v>
      </c>
      <c r="B22" s="21" t="s">
        <v>47</v>
      </c>
      <c r="C22" s="21"/>
      <c r="D22" s="22">
        <v>165</v>
      </c>
      <c r="E22" s="22">
        <v>0</v>
      </c>
      <c r="F22" s="22">
        <v>0</v>
      </c>
      <c r="G22" s="23">
        <v>225</v>
      </c>
      <c r="H22" s="22">
        <v>193</v>
      </c>
    </row>
    <row r="23" spans="1:8" ht="14.4" x14ac:dyDescent="0.3">
      <c r="A23" s="24" t="s">
        <v>48</v>
      </c>
      <c r="B23" s="21" t="s">
        <v>49</v>
      </c>
      <c r="C23" s="21"/>
      <c r="D23" s="22">
        <v>254</v>
      </c>
      <c r="E23" s="22">
        <v>0</v>
      </c>
      <c r="F23" s="22">
        <v>0</v>
      </c>
      <c r="G23" s="23">
        <v>139</v>
      </c>
      <c r="H23" s="22">
        <v>48</v>
      </c>
    </row>
    <row r="24" spans="1:8" ht="14.4" x14ac:dyDescent="0.3">
      <c r="A24" s="24" t="s">
        <v>50</v>
      </c>
      <c r="B24" s="21" t="s">
        <v>51</v>
      </c>
      <c r="C24" s="21"/>
      <c r="D24" s="22">
        <v>449</v>
      </c>
      <c r="E24" s="22">
        <v>0</v>
      </c>
      <c r="F24" s="22">
        <v>0</v>
      </c>
      <c r="G24" s="23">
        <v>150</v>
      </c>
      <c r="H24" s="22">
        <v>197</v>
      </c>
    </row>
    <row r="25" spans="1:8" ht="14.4" x14ac:dyDescent="0.3">
      <c r="A25" s="24" t="s">
        <v>52</v>
      </c>
      <c r="B25" s="21" t="s">
        <v>53</v>
      </c>
      <c r="C25" s="21"/>
      <c r="D25" s="22">
        <v>502</v>
      </c>
      <c r="E25" s="22">
        <v>0</v>
      </c>
      <c r="F25" s="22">
        <v>0</v>
      </c>
      <c r="G25" s="23">
        <v>0</v>
      </c>
      <c r="H25" s="22">
        <v>663</v>
      </c>
    </row>
    <row r="26" spans="1:8" ht="14.4" x14ac:dyDescent="0.3">
      <c r="A26" s="24" t="s">
        <v>54</v>
      </c>
      <c r="B26" s="21" t="s">
        <v>55</v>
      </c>
      <c r="C26" s="21"/>
      <c r="D26" s="22">
        <v>363</v>
      </c>
      <c r="E26" s="22">
        <v>0</v>
      </c>
      <c r="F26" s="22">
        <v>0</v>
      </c>
      <c r="G26" s="23">
        <v>261</v>
      </c>
      <c r="H26" s="22">
        <v>299</v>
      </c>
    </row>
    <row r="27" spans="1:8" ht="14.4" x14ac:dyDescent="0.3">
      <c r="A27" s="24" t="s">
        <v>56</v>
      </c>
      <c r="B27" s="21" t="s">
        <v>57</v>
      </c>
      <c r="C27" s="21"/>
      <c r="D27" s="22">
        <v>332</v>
      </c>
      <c r="E27" s="22">
        <v>0</v>
      </c>
      <c r="F27" s="22">
        <v>0</v>
      </c>
      <c r="G27" s="23">
        <v>240</v>
      </c>
      <c r="H27" s="22">
        <v>507</v>
      </c>
    </row>
    <row r="28" spans="1:8" ht="14.4" x14ac:dyDescent="0.3">
      <c r="A28" s="24" t="s">
        <v>58</v>
      </c>
      <c r="B28" s="21" t="s">
        <v>59</v>
      </c>
      <c r="C28" s="21"/>
      <c r="D28" s="22">
        <v>232</v>
      </c>
      <c r="E28" s="22">
        <v>0</v>
      </c>
      <c r="F28" s="22">
        <v>0</v>
      </c>
      <c r="G28" s="23">
        <v>309</v>
      </c>
      <c r="H28" s="22">
        <v>73</v>
      </c>
    </row>
    <row r="29" spans="1:8" ht="14.4" x14ac:dyDescent="0.3">
      <c r="A29" s="25"/>
      <c r="B29" s="26" t="s">
        <v>60</v>
      </c>
      <c r="C29" s="26"/>
      <c r="D29" s="27">
        <f>SUM(D9:D28)</f>
        <v>5929</v>
      </c>
      <c r="E29" s="27">
        <f t="shared" ref="E29:H29" si="0">SUM(E9:E28)</f>
        <v>0</v>
      </c>
      <c r="F29" s="27">
        <f t="shared" si="0"/>
        <v>0</v>
      </c>
      <c r="G29" s="28">
        <f>SUM(G9:G28)</f>
        <v>6699</v>
      </c>
      <c r="H29" s="27">
        <f t="shared" si="0"/>
        <v>3148</v>
      </c>
    </row>
    <row r="30" spans="1:8" ht="14.4" x14ac:dyDescent="0.3">
      <c r="A30" s="29"/>
      <c r="B30" s="30" t="s">
        <v>62</v>
      </c>
      <c r="C30" s="31"/>
      <c r="D30" s="32">
        <v>5881</v>
      </c>
      <c r="E30" s="32"/>
      <c r="F30" s="32"/>
      <c r="G30" s="33">
        <v>4452</v>
      </c>
      <c r="H30" s="34">
        <v>2556</v>
      </c>
    </row>
    <row r="31" spans="1:8" ht="14.4" x14ac:dyDescent="0.3">
      <c r="A31" s="29"/>
      <c r="B31" s="30" t="s">
        <v>63</v>
      </c>
      <c r="C31" s="31"/>
      <c r="D31" s="32">
        <v>5782</v>
      </c>
      <c r="E31" s="32"/>
      <c r="F31" s="32"/>
      <c r="G31" s="23">
        <v>4755</v>
      </c>
      <c r="H31" s="35">
        <v>1094</v>
      </c>
    </row>
    <row r="32" spans="1:8" ht="14.4" x14ac:dyDescent="0.3">
      <c r="A32" s="29"/>
      <c r="B32" s="30" t="s">
        <v>64</v>
      </c>
      <c r="C32" s="36"/>
      <c r="D32" s="36">
        <v>5805</v>
      </c>
      <c r="E32" s="32"/>
      <c r="F32" s="32"/>
      <c r="G32" s="37">
        <v>5117</v>
      </c>
      <c r="H32" s="34">
        <v>1170</v>
      </c>
    </row>
    <row r="33" spans="1:8" ht="15" thickBot="1" x14ac:dyDescent="0.35">
      <c r="A33" s="30"/>
      <c r="B33" s="30" t="s">
        <v>61</v>
      </c>
      <c r="C33" s="36"/>
      <c r="D33" s="31">
        <v>4864</v>
      </c>
      <c r="E33" s="31">
        <v>0</v>
      </c>
      <c r="F33" s="31">
        <v>0</v>
      </c>
      <c r="G33" s="38">
        <v>10121</v>
      </c>
      <c r="H33" s="39">
        <v>2664</v>
      </c>
    </row>
    <row r="34" spans="1:8" ht="15" customHeight="1" thickTop="1" x14ac:dyDescent="0.3">
      <c r="A34" s="40" t="s">
        <v>65</v>
      </c>
      <c r="B34" s="10"/>
      <c r="C34" s="10"/>
      <c r="D34" s="10"/>
      <c r="E34" s="10"/>
      <c r="F34" s="10"/>
      <c r="G34" s="10"/>
      <c r="H34" s="10"/>
    </row>
    <row r="35" spans="1:8" ht="12.75" customHeight="1" x14ac:dyDescent="0.25"/>
    <row r="36" spans="1:8" ht="12.75" customHeight="1" x14ac:dyDescent="0.25"/>
    <row r="37" spans="1:8" ht="12.75" customHeight="1" x14ac:dyDescent="0.25"/>
    <row r="38" spans="1:8" ht="12.75" customHeight="1" x14ac:dyDescent="0.25"/>
    <row r="39" spans="1:8" ht="12.75" customHeight="1" x14ac:dyDescent="0.25"/>
    <row r="40" spans="1:8" ht="12.75" customHeight="1" x14ac:dyDescent="0.25"/>
    <row r="41" spans="1:8" ht="12.75" customHeight="1" x14ac:dyDescent="0.25"/>
    <row r="42" spans="1:8" ht="12.75" customHeight="1" x14ac:dyDescent="0.25"/>
    <row r="43" spans="1:8" ht="12.75" customHeight="1" x14ac:dyDescent="0.25"/>
    <row r="44" spans="1:8" ht="12.75" customHeight="1" x14ac:dyDescent="0.25"/>
    <row r="45" spans="1:8" ht="12.75" customHeight="1" x14ac:dyDescent="0.25"/>
    <row r="46" spans="1:8" ht="12.75" customHeight="1" x14ac:dyDescent="0.25"/>
    <row r="47" spans="1:8" ht="12.75" customHeight="1" x14ac:dyDescent="0.25"/>
    <row r="48" spans="1: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0">
    <mergeCell ref="A34:H34"/>
    <mergeCell ref="A8:C8"/>
    <mergeCell ref="A6:C7"/>
    <mergeCell ref="D6:H6"/>
    <mergeCell ref="C5:H5"/>
    <mergeCell ref="C3:H3"/>
    <mergeCell ref="C4:H4"/>
    <mergeCell ref="A1:B1"/>
    <mergeCell ref="C1:H1"/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2025-07-14T07:02:11Z</dcterms:created>
  <dcterms:modified xsi:type="dcterms:W3CDTF">2025-07-14T07:04:19Z</dcterms:modified>
</cp:coreProperties>
</file>