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95A2B795-9D26-457F-A639-22C33197B483}" xr6:coauthVersionLast="47" xr6:coauthVersionMax="47" xr10:uidLastSave="{00000000-0000-0000-0000-000000000000}"/>
  <bookViews>
    <workbookView xWindow="28680" yWindow="-120" windowWidth="29040" windowHeight="15720" xr2:uid="{54091506-609C-45AC-B64F-F68B6286C0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9" i="1" l="1"/>
  <c r="L29" i="1"/>
  <c r="K29" i="1"/>
  <c r="I29" i="1"/>
  <c r="G29" i="1"/>
  <c r="E29" i="1"/>
  <c r="F27" i="1"/>
  <c r="F26" i="1"/>
  <c r="F25" i="1"/>
  <c r="F24" i="1"/>
  <c r="D24" i="1"/>
  <c r="F23" i="1"/>
  <c r="F22" i="1"/>
  <c r="F21" i="1"/>
  <c r="F20" i="1"/>
  <c r="F19" i="1"/>
  <c r="J18" i="1"/>
  <c r="H18" i="1"/>
  <c r="F18" i="1"/>
  <c r="D18" i="1"/>
  <c r="F17" i="1"/>
  <c r="D17" i="1"/>
  <c r="F16" i="1"/>
  <c r="F15" i="1"/>
  <c r="F14" i="1"/>
  <c r="D14" i="1"/>
  <c r="F13" i="1"/>
  <c r="J12" i="1"/>
  <c r="H12" i="1"/>
  <c r="F12" i="1"/>
  <c r="D12" i="1"/>
  <c r="F11" i="1"/>
  <c r="D11" i="1"/>
  <c r="J10" i="1"/>
  <c r="F10" i="1"/>
  <c r="D10" i="1"/>
  <c r="H29" i="1" l="1"/>
  <c r="J29" i="1"/>
  <c r="D29" i="1"/>
  <c r="F29" i="1"/>
</calcChain>
</file>

<file path=xl/sharedStrings.xml><?xml version="1.0" encoding="utf-8"?>
<sst xmlns="http://schemas.openxmlformats.org/spreadsheetml/2006/main" count="74" uniqueCount="58">
  <si>
    <t>Produksi dan Nilai Produksi Perikanan Tangkap Menurut Kecamatan dan Jenis Penangkapan</t>
  </si>
  <si>
    <t>Tabel : 5.6.1</t>
  </si>
  <si>
    <t>Table</t>
  </si>
  <si>
    <t>Di Kabupaten Banjarnegara Tahun 2023</t>
  </si>
  <si>
    <t>Jenis Penangkapan</t>
  </si>
  <si>
    <r>
      <rPr>
        <sz val="11"/>
        <color theme="1"/>
        <rFont val="Calibri"/>
        <family val="2"/>
      </rPr>
      <t xml:space="preserve">Kecamatan   </t>
    </r>
    <r>
      <rPr>
        <i/>
        <sz val="11"/>
        <color theme="1"/>
        <rFont val="Calibri"/>
        <family val="2"/>
      </rPr>
      <t xml:space="preserve"> Subdistrict</t>
    </r>
  </si>
  <si>
    <t>Jala Tebar Lainnya</t>
  </si>
  <si>
    <t>Pancing</t>
  </si>
  <si>
    <t>Jaring Ingsang</t>
  </si>
  <si>
    <t>Lainnya</t>
  </si>
  <si>
    <t>.................................</t>
  </si>
  <si>
    <t>Produksi
(kg)</t>
  </si>
  <si>
    <t>Nilai Produksi
(ribu rupiah)</t>
  </si>
  <si>
    <t>(1)</t>
  </si>
  <si>
    <t>(2)</t>
  </si>
  <si>
    <t>(3)</t>
  </si>
  <si>
    <t>01.</t>
  </si>
  <si>
    <t>Susukan</t>
  </si>
  <si>
    <t>02.</t>
  </si>
  <si>
    <t>Purworejo Klampok</t>
  </si>
  <si>
    <t>03.</t>
  </si>
  <si>
    <t>Mandiraja</t>
  </si>
  <si>
    <t>04.</t>
  </si>
  <si>
    <t>Purwonegoro</t>
  </si>
  <si>
    <t>05.</t>
  </si>
  <si>
    <t>B a w a n g</t>
  </si>
  <si>
    <t>06.</t>
  </si>
  <si>
    <t>Banjarnegara</t>
  </si>
  <si>
    <t>07.</t>
  </si>
  <si>
    <t>Pagedongan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</si>
  <si>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</si>
  <si>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</si>
  <si>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</si>
  <si>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</si>
  <si>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</si>
  <si>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</si>
  <si>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</si>
  <si>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</si>
  <si>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</si>
  <si>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</si>
  <si>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</si>
  <si>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</si>
  <si>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</si>
  <si>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</si>
  <si>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</si>
  <si>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</si>
  <si>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</si>
  <si>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</si>
  <si>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</si>
  <si>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</si>
  <si>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</si>
  <si>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</si>
  <si>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</si>
  <si>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</si>
  <si>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</si>
  <si>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>Pandanarum</t>
  </si>
  <si>
    <t>J u m l a h</t>
  </si>
  <si>
    <t>Sumber Data  :  Dinas Pertanian dan Perikanan Kab. 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</si>
</sst>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64" formatCode="_(* #,##0_);_(* \(#,##0\);_(* &quot;-&quot;_);_(@_)"/>
    <numFmt numFmtId="166" formatCode="_-* #,##0.00_-;\-* #,##0.00_-;_-* &quot;-&quot;_-;_-@"/>
    <numFmt numFmtId="168" formatCode="_-* #,##0_-;\-* #,##0_-;_-* &quot;-&quot;_-;_-@"/>
  </numFmts>
  <fonts count="11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sz val="11"/>
      <color rgb="FF000000"/>
      <name val="Calibri"/>
      <family val="2"/>
    </font>
    <font>
      <sz val="10"/>
      <name val="Calibri"/>
      <family val="2"/>
      <scheme val="minor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</fills>
  <borders count="4"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1" fillId="0" borderId="0"/>
    <xf numFmtId="164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5" fillId="0" borderId="0"/>
  </cellStyleXfs>
  <cellXfs count="37">
    <xf numFmtId="0" fontId="0" fillId="0" borderId="0" xfId="0"/>
    <xf numFmtId="0" fontId="1" fillId="0" borderId="0" xfId="1"/>
    <xf numFmtId="0" fontId="4" fillId="0" borderId="0" xfId="1" applyFont="1"/>
    <xf numFmtId="0" fontId="1" fillId="0" borderId="0" xfId="1"/>
    <xf numFmtId="166" fontId="2" fillId="0" borderId="0" xfId="1" applyNumberFormat="1" applyFont="1"/>
    <xf numFmtId="166" fontId="6" fillId="0" borderId="0" xfId="1" applyNumberFormat="1" applyFont="1"/>
    <xf numFmtId="166" fontId="4" fillId="0" borderId="0" xfId="1" applyNumberFormat="1" applyFont="1"/>
    <xf numFmtId="166" fontId="7" fillId="2" borderId="1" xfId="1" applyNumberFormat="1" applyFont="1" applyFill="1" applyBorder="1" applyAlignment="1">
      <alignment vertical="top"/>
    </xf>
    <xf numFmtId="166" fontId="4" fillId="2" borderId="1" xfId="1" applyNumberFormat="1" applyFont="1" applyFill="1" applyBorder="1"/>
    <xf numFmtId="166" fontId="6" fillId="0" borderId="1" xfId="1" applyNumberFormat="1" applyFont="1" applyBorder="1"/>
    <xf numFmtId="166" fontId="4" fillId="0" borderId="1" xfId="1" applyNumberFormat="1" applyFont="1" applyBorder="1"/>
    <xf numFmtId="166" fontId="8" fillId="0" borderId="0" xfId="1" applyNumberFormat="1" applyFont="1" applyAlignment="1">
      <alignment horizontal="center" wrapText="1"/>
    </xf>
    <xf numFmtId="166" fontId="3" fillId="0" borderId="2" xfId="1" applyNumberFormat="1" applyFont="1" applyBorder="1" applyAlignment="1">
      <alignment horizontal="center" wrapText="1"/>
    </xf>
    <xf numFmtId="0" fontId="9" fillId="0" borderId="2" xfId="1" applyFont="1" applyBorder="1"/>
    <xf numFmtId="166" fontId="3" fillId="0" borderId="2" xfId="1" applyNumberFormat="1" applyFont="1" applyBorder="1" applyAlignment="1">
      <alignment horizontal="center"/>
    </xf>
    <xf numFmtId="0" fontId="9" fillId="0" borderId="1" xfId="1" applyFont="1" applyBorder="1"/>
    <xf numFmtId="166" fontId="3" fillId="0" borderId="2" xfId="1" applyNumberFormat="1" applyFont="1" applyBorder="1" applyAlignment="1">
      <alignment horizontal="center" wrapText="1"/>
    </xf>
    <xf numFmtId="166" fontId="3" fillId="0" borderId="2" xfId="1" quotePrefix="1" applyNumberFormat="1" applyFont="1" applyBorder="1" applyAlignment="1">
      <alignment horizontal="center"/>
    </xf>
    <xf numFmtId="166" fontId="3" fillId="0" borderId="2" xfId="1" quotePrefix="1" applyNumberFormat="1" applyFont="1" applyBorder="1" applyAlignment="1">
      <alignment horizontal="center"/>
    </xf>
    <xf numFmtId="166" fontId="3" fillId="0" borderId="0" xfId="1" quotePrefix="1" applyNumberFormat="1" applyFont="1" applyAlignment="1">
      <alignment horizontal="center"/>
    </xf>
    <xf numFmtId="166" fontId="3" fillId="0" borderId="0" xfId="1" applyNumberFormat="1" applyFont="1"/>
    <xf numFmtId="164" fontId="5" fillId="0" borderId="0" xfId="2" applyAlignment="1" applyProtection="1">
      <alignment vertical="top"/>
      <protection locked="0"/>
    </xf>
    <xf numFmtId="166" fontId="8" fillId="0" borderId="0" xfId="1" applyNumberFormat="1" applyFont="1" applyAlignment="1">
      <alignment horizontal="right"/>
    </xf>
    <xf numFmtId="164" fontId="8" fillId="0" borderId="0" xfId="2" applyFont="1" applyAlignment="1">
      <alignment vertical="center"/>
    </xf>
    <xf numFmtId="164" fontId="8" fillId="0" borderId="0" xfId="2" applyFont="1" applyAlignment="1" applyProtection="1">
      <alignment vertical="top"/>
      <protection locked="0"/>
    </xf>
    <xf numFmtId="164" fontId="8" fillId="0" borderId="0" xfId="2" applyFont="1" applyAlignment="1">
      <alignment horizontal="right"/>
    </xf>
    <xf numFmtId="168" fontId="8" fillId="0" borderId="0" xfId="1" applyNumberFormat="1" applyFont="1" applyAlignment="1">
      <alignment horizontal="right"/>
    </xf>
    <xf numFmtId="168" fontId="8" fillId="0" borderId="0" xfId="1" applyNumberFormat="1" applyFont="1"/>
    <xf numFmtId="168" fontId="3" fillId="0" borderId="0" xfId="1" applyNumberFormat="1" applyFont="1" applyAlignment="1">
      <alignment horizontal="right"/>
    </xf>
    <xf numFmtId="166" fontId="3" fillId="0" borderId="0" xfId="1" applyNumberFormat="1" applyFont="1" applyAlignment="1">
      <alignment horizontal="center"/>
    </xf>
    <xf numFmtId="166" fontId="4" fillId="0" borderId="2" xfId="1" applyNumberFormat="1" applyFont="1" applyBorder="1"/>
    <xf numFmtId="166" fontId="10" fillId="0" borderId="0" xfId="1" applyNumberFormat="1" applyFont="1"/>
    <xf numFmtId="166" fontId="4" fillId="3" borderId="1" xfId="1" applyNumberFormat="1" applyFont="1" applyFill="1" applyBorder="1"/>
    <xf numFmtId="166" fontId="6" fillId="3" borderId="2" xfId="1" applyNumberFormat="1" applyFont="1" applyFill="1" applyBorder="1"/>
    <xf numFmtId="166" fontId="4" fillId="3" borderId="2" xfId="1" applyNumberFormat="1" applyFont="1" applyFill="1" applyBorder="1"/>
    <xf numFmtId="168" fontId="10" fillId="0" borderId="3" xfId="1" applyNumberFormat="1" applyFont="1" applyBorder="1"/>
    <xf numFmtId="166" fontId="6" fillId="3" borderId="2" xfId="1" applyNumberFormat="1" applyFont="1" applyFill="1" applyBorder="1" applyAlignment="1">
      <alignment horizontal="right"/>
    </xf>
  </cellXfs>
  <cellStyles count="5">
    <cellStyle name="Comma [0] 2 2" xfId="3" xr:uid="{74DA3AF1-68CE-4240-918F-2D42243D120D}"/>
    <cellStyle name="Comma [0] 4" xfId="2" xr:uid="{8DBBB4F2-3D58-4BF4-8E00-6E20E4F1B032}"/>
    <cellStyle name="Normal" xfId="0" builtinId="0"/>
    <cellStyle name="Normal 2" xfId="4" xr:uid="{3FB671D6-D2EF-462A-B67F-72E060827DA6}"/>
    <cellStyle name="Normal 4" xfId="1" xr:uid="{344702D4-7D52-4EE7-8D7F-9676F56060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3109B-3557-4A59-8001-399137A7B7AE}">
  <dimension ref="A1:M1000"/>
  <sheetViews>
    <sheetView tabSelected="1" workbookViewId="0">
      <selection activeCell="C1" sqref="C1"/>
    </sheetView>
  </sheetViews>
  <sheetFormatPr defaultColWidth="14.44140625" defaultRowHeight="13.2" x14ac:dyDescent="0.25"/>
  <cols>
    <col min="1" max="16384" width="14.44140625" style="3"/>
  </cols>
  <sheetData>
    <row r="1" spans="1:13" ht="12.75" customHeight="1" x14ac:dyDescent="0.3">
      <c r="A1" s="4" t="s">
        <v>1</v>
      </c>
      <c r="B1" s="1"/>
      <c r="C1" s="5" t="s">
        <v>0</v>
      </c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ht="12.75" customHeight="1" thickBot="1" x14ac:dyDescent="0.35">
      <c r="A2" s="7" t="s">
        <v>2</v>
      </c>
      <c r="B2" s="8"/>
      <c r="C2" s="9" t="s">
        <v>3</v>
      </c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1:13" ht="12.75" customHeight="1" thickTop="1" x14ac:dyDescent="0.3">
      <c r="A3" s="11" t="s">
        <v>5</v>
      </c>
      <c r="B3" s="1"/>
      <c r="C3" s="1"/>
      <c r="D3" s="12" t="s">
        <v>4</v>
      </c>
      <c r="E3" s="13"/>
      <c r="F3" s="13"/>
      <c r="G3" s="13"/>
      <c r="H3" s="13"/>
      <c r="I3" s="13"/>
      <c r="J3" s="13"/>
      <c r="K3" s="13"/>
      <c r="L3" s="13"/>
      <c r="M3" s="13"/>
    </row>
    <row r="4" spans="1:13" ht="12.75" customHeight="1" x14ac:dyDescent="0.3">
      <c r="A4" s="1"/>
      <c r="B4" s="1"/>
      <c r="C4" s="1"/>
      <c r="D4" s="14" t="s">
        <v>6</v>
      </c>
      <c r="E4" s="13"/>
      <c r="F4" s="14" t="s">
        <v>7</v>
      </c>
      <c r="G4" s="13"/>
      <c r="H4" s="14" t="s">
        <v>8</v>
      </c>
      <c r="I4" s="13"/>
      <c r="J4" s="14" t="s">
        <v>9</v>
      </c>
      <c r="K4" s="13"/>
      <c r="L4" s="12" t="s">
        <v>10</v>
      </c>
      <c r="M4" s="13"/>
    </row>
    <row r="5" spans="1:13" ht="31.5" customHeight="1" thickBot="1" x14ac:dyDescent="0.35">
      <c r="A5" s="15"/>
      <c r="B5" s="15"/>
      <c r="C5" s="15"/>
      <c r="D5" s="16" t="s">
        <v>11</v>
      </c>
      <c r="E5" s="16" t="s">
        <v>12</v>
      </c>
      <c r="F5" s="16" t="s">
        <v>11</v>
      </c>
      <c r="G5" s="16" t="s">
        <v>12</v>
      </c>
      <c r="H5" s="16" t="s">
        <v>11</v>
      </c>
      <c r="I5" s="16" t="s">
        <v>12</v>
      </c>
      <c r="J5" s="16" t="s">
        <v>11</v>
      </c>
      <c r="K5" s="16" t="s">
        <v>12</v>
      </c>
      <c r="L5" s="16" t="s">
        <v>11</v>
      </c>
      <c r="M5" s="16" t="s">
        <v>12</v>
      </c>
    </row>
    <row r="6" spans="1:13" ht="19.5" customHeight="1" thickTop="1" x14ac:dyDescent="0.3">
      <c r="A6" s="17" t="s">
        <v>13</v>
      </c>
      <c r="B6" s="13"/>
      <c r="C6" s="13"/>
      <c r="D6" s="18" t="s">
        <v>14</v>
      </c>
      <c r="E6" s="18" t="s">
        <v>15</v>
      </c>
      <c r="F6" s="18" t="s">
        <v>14</v>
      </c>
      <c r="G6" s="18" t="s">
        <v>15</v>
      </c>
      <c r="H6" s="18" t="s">
        <v>14</v>
      </c>
      <c r="I6" s="18" t="s">
        <v>15</v>
      </c>
      <c r="J6" s="18" t="s">
        <v>14</v>
      </c>
      <c r="K6" s="18" t="s">
        <v>15</v>
      </c>
      <c r="L6" s="18" t="s">
        <v>14</v>
      </c>
      <c r="M6" s="18" t="s">
        <v>15</v>
      </c>
    </row>
    <row r="7" spans="1:13" ht="57.75" customHeight="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spans="1:13" ht="21" customHeight="1" x14ac:dyDescent="0.3">
      <c r="A8" s="19" t="s">
        <v>16</v>
      </c>
      <c r="B8" s="20" t="s">
        <v>17</v>
      </c>
      <c r="C8" s="6"/>
      <c r="D8" s="21">
        <v>10291.332104985431</v>
      </c>
      <c r="E8" s="21">
        <v>201359.32198672078</v>
      </c>
      <c r="F8" s="21">
        <v>8380.3299501397505</v>
      </c>
      <c r="G8" s="21">
        <v>163968.81760017193</v>
      </c>
      <c r="H8" s="22">
        <v>0</v>
      </c>
      <c r="I8" s="22">
        <v>0</v>
      </c>
      <c r="J8" s="23">
        <v>8083.5942931152695</v>
      </c>
      <c r="K8" s="24">
        <v>158162.91316543031</v>
      </c>
      <c r="L8" s="22">
        <v>0</v>
      </c>
      <c r="M8" s="22">
        <v>0</v>
      </c>
    </row>
    <row r="9" spans="1:13" ht="7.5" customHeight="1" x14ac:dyDescent="0.3">
      <c r="A9" s="19" t="s">
        <v>18</v>
      </c>
      <c r="B9" s="20" t="s">
        <v>19</v>
      </c>
      <c r="C9" s="6"/>
      <c r="D9" s="21">
        <v>7802.8025974240654</v>
      </c>
      <c r="E9" s="21">
        <v>152668.96691171924</v>
      </c>
      <c r="F9" s="21">
        <v>6353.8966224347405</v>
      </c>
      <c r="G9" s="21">
        <v>124319.7967780466</v>
      </c>
      <c r="H9" s="22">
        <v>0</v>
      </c>
      <c r="I9" s="22">
        <v>0</v>
      </c>
      <c r="J9" s="23">
        <v>6128.9141097960382</v>
      </c>
      <c r="K9" s="24">
        <v>119917.80821702718</v>
      </c>
      <c r="L9" s="22">
        <v>0</v>
      </c>
      <c r="M9" s="22">
        <v>0</v>
      </c>
    </row>
    <row r="10" spans="1:13" ht="13.5" customHeight="1" x14ac:dyDescent="0.3">
      <c r="A10" s="19" t="s">
        <v>20</v>
      </c>
      <c r="B10" s="20" t="s">
        <v>21</v>
      </c>
      <c r="C10" s="6"/>
      <c r="D10" s="21">
        <f>28462.0893697788+306</f>
        <v>28768.089369778801</v>
      </c>
      <c r="E10" s="21">
        <v>562873.97114955529</v>
      </c>
      <c r="F10" s="21">
        <f>22270.9510065236+300</f>
        <v>22570.951006523599</v>
      </c>
      <c r="G10" s="21">
        <v>441621.29303624568</v>
      </c>
      <c r="H10" s="22">
        <v>0</v>
      </c>
      <c r="I10" s="22">
        <v>0</v>
      </c>
      <c r="J10" s="23">
        <f>22356.2878792168+300</f>
        <v>22656.287879216801</v>
      </c>
      <c r="K10" s="24">
        <v>443290.98697388923</v>
      </c>
      <c r="L10" s="22">
        <v>0</v>
      </c>
      <c r="M10" s="22">
        <v>0</v>
      </c>
    </row>
    <row r="11" spans="1:13" ht="13.5" customHeight="1" x14ac:dyDescent="0.3">
      <c r="A11" s="19" t="s">
        <v>22</v>
      </c>
      <c r="B11" s="20" t="s">
        <v>23</v>
      </c>
      <c r="C11" s="6"/>
      <c r="D11" s="21">
        <f>18906.5943748979+302</f>
        <v>19208.594374897901</v>
      </c>
      <c r="E11" s="21">
        <v>375833.7113398264</v>
      </c>
      <c r="F11" s="21">
        <f>14793.8202377267+300</f>
        <v>15093.820237726701</v>
      </c>
      <c r="G11" s="21">
        <v>295324.39321298123</v>
      </c>
      <c r="H11" s="22">
        <v>0</v>
      </c>
      <c r="I11" s="22">
        <v>0</v>
      </c>
      <c r="J11" s="23">
        <v>14850.675970036302</v>
      </c>
      <c r="K11" s="24">
        <v>290567.05330910435</v>
      </c>
      <c r="L11" s="22">
        <v>0</v>
      </c>
      <c r="M11" s="22">
        <v>0</v>
      </c>
    </row>
    <row r="12" spans="1:13" ht="13.5" customHeight="1" x14ac:dyDescent="0.3">
      <c r="A12" s="19" t="s">
        <v>24</v>
      </c>
      <c r="B12" s="20" t="s">
        <v>25</v>
      </c>
      <c r="C12" s="6"/>
      <c r="D12" s="21">
        <f>5176.18777736391+7612.6</f>
        <v>12788.78777736391</v>
      </c>
      <c r="E12" s="21">
        <v>287842.22883799113</v>
      </c>
      <c r="F12" s="21">
        <f>4050.01910692168+11029.6+165</f>
        <v>15244.61910692168</v>
      </c>
      <c r="G12" s="21">
        <v>343116.58132988808</v>
      </c>
      <c r="H12" s="26">
        <f>13600+30943.4</f>
        <v>44543.4</v>
      </c>
      <c r="I12" s="27">
        <v>1002555.6572856823</v>
      </c>
      <c r="J12" s="25">
        <f>4065.77122867527+25952.2</f>
        <v>30017.971228675269</v>
      </c>
      <c r="K12" s="28">
        <v>675626.17302557139</v>
      </c>
      <c r="L12" s="22">
        <v>0</v>
      </c>
      <c r="M12" s="22">
        <v>0</v>
      </c>
    </row>
    <row r="13" spans="1:13" ht="13.5" customHeight="1" x14ac:dyDescent="0.3">
      <c r="A13" s="19" t="s">
        <v>26</v>
      </c>
      <c r="B13" s="20" t="s">
        <v>27</v>
      </c>
      <c r="C13" s="6"/>
      <c r="D13" s="21">
        <v>9785.6396666952223</v>
      </c>
      <c r="E13" s="21">
        <v>191464.98707757899</v>
      </c>
      <c r="F13" s="21">
        <f>7657.53977147963+311</f>
        <v>7968.53977147963</v>
      </c>
      <c r="G13" s="21">
        <v>155911.76625541694</v>
      </c>
      <c r="H13" s="22">
        <v>0</v>
      </c>
      <c r="I13" s="22">
        <v>0</v>
      </c>
      <c r="J13" s="23">
        <v>7686.3850235539448</v>
      </c>
      <c r="K13" s="24">
        <v>150391.1506385011</v>
      </c>
      <c r="L13" s="22">
        <v>0</v>
      </c>
      <c r="M13" s="22">
        <v>0</v>
      </c>
    </row>
    <row r="14" spans="1:13" ht="13.5" customHeight="1" x14ac:dyDescent="0.3">
      <c r="A14" s="19" t="s">
        <v>28</v>
      </c>
      <c r="B14" s="20" t="s">
        <v>29</v>
      </c>
      <c r="C14" s="6"/>
      <c r="D14" s="21">
        <f>3060.82433258482+79.0624120131394</f>
        <v>3139.886744597959</v>
      </c>
      <c r="E14" s="21">
        <v>59513.018612713029</v>
      </c>
      <c r="F14" s="21">
        <f>2394.45846551304+1301.93758798686+98</f>
        <v>3794.3960534999005</v>
      </c>
      <c r="G14" s="21">
        <v>71918.505769181385</v>
      </c>
      <c r="H14" s="22">
        <v>0</v>
      </c>
      <c r="I14" s="22">
        <v>0</v>
      </c>
      <c r="J14" s="23">
        <v>2404.2040286626266</v>
      </c>
      <c r="K14" s="24">
        <v>45568.980904398559</v>
      </c>
      <c r="L14" s="22">
        <v>0</v>
      </c>
      <c r="M14" s="22">
        <v>0</v>
      </c>
    </row>
    <row r="15" spans="1:13" ht="13.5" customHeight="1" x14ac:dyDescent="0.3">
      <c r="A15" s="19" t="s">
        <v>30</v>
      </c>
      <c r="B15" s="20" t="s">
        <v>31</v>
      </c>
      <c r="C15" s="6"/>
      <c r="D15" s="21">
        <v>4363.8663378505807</v>
      </c>
      <c r="E15" s="21">
        <v>85383.03477783929</v>
      </c>
      <c r="F15" s="21">
        <f>3414.53800620038+139</f>
        <v>3553.5380062003801</v>
      </c>
      <c r="G15" s="21">
        <v>69528.220086875081</v>
      </c>
      <c r="H15" s="22">
        <v>0</v>
      </c>
      <c r="I15" s="22">
        <v>0</v>
      </c>
      <c r="J15" s="23">
        <v>3427.7122402335222</v>
      </c>
      <c r="K15" s="24">
        <v>67066.323933385618</v>
      </c>
      <c r="L15" s="22">
        <v>0</v>
      </c>
      <c r="M15" s="22">
        <v>0</v>
      </c>
    </row>
    <row r="16" spans="1:13" ht="13.5" customHeight="1" x14ac:dyDescent="0.3">
      <c r="A16" s="19" t="s">
        <v>32</v>
      </c>
      <c r="B16" s="20" t="s">
        <v>33</v>
      </c>
      <c r="C16" s="6"/>
      <c r="D16" s="21">
        <v>4624.4507862926221</v>
      </c>
      <c r="E16" s="21">
        <v>90481.607763658467</v>
      </c>
      <c r="F16" s="21">
        <f>3618.73440949803+147</f>
        <v>3765.7344094980299</v>
      </c>
      <c r="G16" s="21">
        <v>73680.036728312232</v>
      </c>
      <c r="H16" s="22">
        <v>0</v>
      </c>
      <c r="I16" s="22">
        <v>0</v>
      </c>
      <c r="J16" s="23">
        <v>3632.395068346731</v>
      </c>
      <c r="K16" s="24">
        <v>71071.130606686347</v>
      </c>
      <c r="L16" s="22">
        <v>0</v>
      </c>
      <c r="M16" s="22">
        <v>0</v>
      </c>
    </row>
    <row r="17" spans="1:13" ht="13.5" customHeight="1" x14ac:dyDescent="0.3">
      <c r="A17" s="19" t="s">
        <v>34</v>
      </c>
      <c r="B17" s="20" t="s">
        <v>35</v>
      </c>
      <c r="C17" s="6"/>
      <c r="D17" s="21">
        <f>8272.91251161074+100</f>
        <v>8372.9125116107407</v>
      </c>
      <c r="E17" s="21">
        <v>163823.68863359652</v>
      </c>
      <c r="F17" s="21">
        <f>6472.71161212959+164</f>
        <v>6636.7116121295903</v>
      </c>
      <c r="G17" s="21">
        <v>129853.33062883423</v>
      </c>
      <c r="H17" s="22">
        <v>0</v>
      </c>
      <c r="I17" s="22">
        <v>0</v>
      </c>
      <c r="J17" s="23">
        <v>6498.1741609429073</v>
      </c>
      <c r="K17" s="24">
        <v>127142.71873174023</v>
      </c>
      <c r="L17" s="22">
        <v>0</v>
      </c>
      <c r="M17" s="22">
        <v>0</v>
      </c>
    </row>
    <row r="18" spans="1:13" ht="13.5" customHeight="1" x14ac:dyDescent="0.3">
      <c r="A18" s="29" t="s">
        <v>36</v>
      </c>
      <c r="B18" s="20" t="s">
        <v>37</v>
      </c>
      <c r="C18" s="6"/>
      <c r="D18" s="21">
        <f>23147.8033833209+14777.4</f>
        <v>37925.203383320899</v>
      </c>
      <c r="E18" s="21">
        <v>837306.28310243506</v>
      </c>
      <c r="F18" s="21">
        <f>18112.4772099734+21410.4+100</f>
        <v>39622.877209973405</v>
      </c>
      <c r="G18" s="21">
        <v>874787.24127548595</v>
      </c>
      <c r="H18" s="26">
        <f>26400+60066.6+300</f>
        <v>86766.6</v>
      </c>
      <c r="I18" s="27">
        <v>1915618.4505891548</v>
      </c>
      <c r="J18" s="25">
        <f>18182.0438227741+50377.8+337</f>
        <v>68896.843822774099</v>
      </c>
      <c r="K18" s="28">
        <v>1521092.9691179034</v>
      </c>
      <c r="L18" s="22">
        <v>0</v>
      </c>
      <c r="M18" s="22">
        <v>0</v>
      </c>
    </row>
    <row r="19" spans="1:13" ht="13.5" customHeight="1" x14ac:dyDescent="0.3">
      <c r="A19" s="29" t="s">
        <v>38</v>
      </c>
      <c r="B19" s="20" t="s">
        <v>39</v>
      </c>
      <c r="C19" s="6"/>
      <c r="D19" s="21">
        <v>15677.143660050473</v>
      </c>
      <c r="E19" s="21">
        <v>306737.64930265548</v>
      </c>
      <c r="F19" s="21">
        <f>12267.0476998231+499</f>
        <v>12766.047699823101</v>
      </c>
      <c r="G19" s="21">
        <v>249779.39522923928</v>
      </c>
      <c r="H19" s="22">
        <v>0</v>
      </c>
      <c r="I19" s="22">
        <v>0</v>
      </c>
      <c r="J19" s="23">
        <v>12314.019966505748</v>
      </c>
      <c r="K19" s="24">
        <v>240935.05933846728</v>
      </c>
      <c r="L19" s="22">
        <v>0</v>
      </c>
      <c r="M19" s="22">
        <v>0</v>
      </c>
    </row>
    <row r="20" spans="1:13" ht="13.5" customHeight="1" x14ac:dyDescent="0.3">
      <c r="A20" s="29" t="s">
        <v>40</v>
      </c>
      <c r="B20" s="20" t="s">
        <v>41</v>
      </c>
      <c r="C20" s="6"/>
      <c r="D20" s="21">
        <v>6147.1981170276013</v>
      </c>
      <c r="E20" s="21">
        <v>120275.55153555884</v>
      </c>
      <c r="F20" s="21">
        <f>4809.72209350949+196</f>
        <v>5005.7220935094902</v>
      </c>
      <c r="G20" s="21">
        <v>97941.529485258798</v>
      </c>
      <c r="H20" s="22">
        <v>0</v>
      </c>
      <c r="I20" s="22">
        <v>0</v>
      </c>
      <c r="J20" s="23">
        <v>4828.4765383658359</v>
      </c>
      <c r="K20" s="24">
        <v>94473.558143473332</v>
      </c>
      <c r="L20" s="22">
        <v>0</v>
      </c>
      <c r="M20" s="22">
        <v>0</v>
      </c>
    </row>
    <row r="21" spans="1:13" ht="13.5" customHeight="1" x14ac:dyDescent="0.3">
      <c r="A21" s="29" t="s">
        <v>42</v>
      </c>
      <c r="B21" s="20" t="s">
        <v>43</v>
      </c>
      <c r="C21" s="6"/>
      <c r="D21" s="21">
        <v>2866.6484984642452</v>
      </c>
      <c r="E21" s="21">
        <v>56088.598845759472</v>
      </c>
      <c r="F21" s="21">
        <f>2243.33923063909+91</f>
        <v>2334.3392306390901</v>
      </c>
      <c r="G21" s="21">
        <v>45673.481331030998</v>
      </c>
      <c r="H21" s="22">
        <v>0</v>
      </c>
      <c r="I21" s="22">
        <v>0</v>
      </c>
      <c r="J21" s="23">
        <v>2251.6835727541447</v>
      </c>
      <c r="K21" s="24">
        <v>44056.247812542519</v>
      </c>
      <c r="L21" s="22">
        <v>0</v>
      </c>
      <c r="M21" s="22">
        <v>0</v>
      </c>
    </row>
    <row r="22" spans="1:13" ht="13.5" customHeight="1" x14ac:dyDescent="0.3">
      <c r="A22" s="29" t="s">
        <v>44</v>
      </c>
      <c r="B22" s="20" t="s">
        <v>45</v>
      </c>
      <c r="C22" s="6"/>
      <c r="D22" s="21">
        <v>3326.5386319077215</v>
      </c>
      <c r="E22" s="21">
        <v>65086.769783581811</v>
      </c>
      <c r="F22" s="21">
        <f>2602.83215534056+106</f>
        <v>2708.8321553405599</v>
      </c>
      <c r="G22" s="21">
        <v>53000.777801249831</v>
      </c>
      <c r="H22" s="22">
        <v>0</v>
      </c>
      <c r="I22" s="22">
        <v>0</v>
      </c>
      <c r="J22" s="23">
        <v>2612.9162314847672</v>
      </c>
      <c r="K22" s="24">
        <v>51124.095055196369</v>
      </c>
      <c r="L22" s="22">
        <v>0</v>
      </c>
      <c r="M22" s="22">
        <v>0</v>
      </c>
    </row>
    <row r="23" spans="1:13" ht="13.5" customHeight="1" x14ac:dyDescent="0.3">
      <c r="A23" s="29" t="s">
        <v>46</v>
      </c>
      <c r="B23" s="20" t="s">
        <v>47</v>
      </c>
      <c r="C23" s="6"/>
      <c r="D23" s="21">
        <v>1527.8572211066139</v>
      </c>
      <c r="E23" s="21">
        <v>29893.923448987611</v>
      </c>
      <c r="F23" s="21">
        <f>1195.14871650818+49</f>
        <v>1244.1487165081801</v>
      </c>
      <c r="G23" s="21">
        <v>24342.907162171556</v>
      </c>
      <c r="H23" s="22">
        <v>0</v>
      </c>
      <c r="I23" s="22">
        <v>0</v>
      </c>
      <c r="J23" s="23">
        <v>1200.095166227255</v>
      </c>
      <c r="K23" s="24">
        <v>23480.959172816729</v>
      </c>
      <c r="L23" s="22">
        <v>0</v>
      </c>
      <c r="M23" s="22">
        <v>0</v>
      </c>
    </row>
    <row r="24" spans="1:13" ht="13.5" customHeight="1" x14ac:dyDescent="0.3">
      <c r="A24" s="29" t="s">
        <v>48</v>
      </c>
      <c r="B24" s="20" t="s">
        <v>49</v>
      </c>
      <c r="C24" s="6"/>
      <c r="D24" s="21">
        <f>730.714323137946+164.937587986861</f>
        <v>895.65191112480704</v>
      </c>
      <c r="E24" s="21">
        <v>17660.562687215235</v>
      </c>
      <c r="F24" s="21">
        <f>572.027647025651+2716.06241201314+23</f>
        <v>3311.090059038791</v>
      </c>
      <c r="G24" s="21">
        <v>65288.437197920859</v>
      </c>
      <c r="H24" s="22">
        <v>0</v>
      </c>
      <c r="I24" s="22">
        <v>0</v>
      </c>
      <c r="J24" s="23">
        <v>573.95855776086125</v>
      </c>
      <c r="K24" s="24">
        <v>11317.377837635015</v>
      </c>
      <c r="L24" s="22">
        <v>0</v>
      </c>
      <c r="M24" s="22">
        <v>0</v>
      </c>
    </row>
    <row r="25" spans="1:13" ht="13.5" customHeight="1" x14ac:dyDescent="0.3">
      <c r="A25" s="29" t="s">
        <v>50</v>
      </c>
      <c r="B25" s="20" t="s">
        <v>51</v>
      </c>
      <c r="C25" s="6"/>
      <c r="D25" s="21">
        <v>4925.9343182166358</v>
      </c>
      <c r="E25" s="21">
        <v>96380.408711785945</v>
      </c>
      <c r="F25" s="21">
        <f>3854.23532680229+157</f>
        <v>4011.2353268022898</v>
      </c>
      <c r="G25" s="21">
        <v>78483.486636566362</v>
      </c>
      <c r="H25" s="22">
        <v>0</v>
      </c>
      <c r="I25" s="22">
        <v>0</v>
      </c>
      <c r="J25" s="23">
        <v>3869.203144625661</v>
      </c>
      <c r="K25" s="24">
        <v>75704.497132425691</v>
      </c>
      <c r="L25" s="22">
        <v>0</v>
      </c>
      <c r="M25" s="22">
        <v>0</v>
      </c>
    </row>
    <row r="26" spans="1:13" ht="13.5" customHeight="1" x14ac:dyDescent="0.3">
      <c r="A26" s="29" t="s">
        <v>52</v>
      </c>
      <c r="B26" s="20" t="s">
        <v>53</v>
      </c>
      <c r="C26" s="6"/>
      <c r="D26" s="21">
        <v>5574.8903954090774</v>
      </c>
      <c r="E26" s="21">
        <v>109077.82770182414</v>
      </c>
      <c r="F26" s="21">
        <f>4361.68645388101+178</f>
        <v>4539.6864538810096</v>
      </c>
      <c r="G26" s="21">
        <v>88823.116100097279</v>
      </c>
      <c r="H26" s="22">
        <v>0</v>
      </c>
      <c r="I26" s="22">
        <v>0</v>
      </c>
      <c r="J26" s="23">
        <v>4378.9425630566357</v>
      </c>
      <c r="K26" s="24">
        <v>85678.014908170575</v>
      </c>
      <c r="L26" s="22">
        <v>0</v>
      </c>
      <c r="M26" s="22">
        <v>0</v>
      </c>
    </row>
    <row r="27" spans="1:13" ht="13.5" customHeight="1" x14ac:dyDescent="0.3">
      <c r="A27" s="29" t="s">
        <v>54</v>
      </c>
      <c r="B27" s="20" t="s">
        <v>55</v>
      </c>
      <c r="C27" s="6"/>
      <c r="D27" s="21">
        <v>3188.5715918746782</v>
      </c>
      <c r="E27" s="21">
        <v>62387.318502234921</v>
      </c>
      <c r="F27" s="21">
        <f>2495.48427793012+101</f>
        <v>2596.4842779301198</v>
      </c>
      <c r="G27" s="21">
        <v>50802.588860184042</v>
      </c>
      <c r="H27" s="22">
        <v>0</v>
      </c>
      <c r="I27" s="22">
        <v>0</v>
      </c>
      <c r="J27" s="23">
        <v>2504.5464338655802</v>
      </c>
      <c r="K27" s="24">
        <v>49003.740882400052</v>
      </c>
      <c r="L27" s="22">
        <v>0</v>
      </c>
      <c r="M27" s="22">
        <v>0</v>
      </c>
    </row>
    <row r="28" spans="1:13" ht="13.5" customHeight="1" x14ac:dyDescent="0.3">
      <c r="A28" s="30"/>
      <c r="B28" s="30"/>
      <c r="C28" s="30"/>
      <c r="D28" s="31"/>
      <c r="E28" s="31"/>
      <c r="F28" s="31"/>
      <c r="G28" s="31"/>
      <c r="H28" s="31"/>
      <c r="I28" s="31"/>
      <c r="J28" s="31"/>
      <c r="K28" s="31"/>
      <c r="L28" s="30"/>
      <c r="M28" s="30"/>
    </row>
    <row r="29" spans="1:13" ht="13.5" customHeight="1" thickBot="1" x14ac:dyDescent="0.35">
      <c r="A29" s="32"/>
      <c r="B29" s="33" t="s">
        <v>56</v>
      </c>
      <c r="C29" s="34"/>
      <c r="D29" s="35">
        <f t="shared" ref="D29:I29" si="0">SUM(D8:D27)</f>
        <v>191202.00000000003</v>
      </c>
      <c r="E29" s="35">
        <f>SUM(E8:E27)</f>
        <v>3872139.4307132377</v>
      </c>
      <c r="F29" s="35">
        <f t="shared" si="0"/>
        <v>171503.00000000006</v>
      </c>
      <c r="G29" s="35">
        <f t="shared" si="0"/>
        <v>3498165.7025051578</v>
      </c>
      <c r="H29" s="35">
        <f t="shared" si="0"/>
        <v>131310</v>
      </c>
      <c r="I29" s="35">
        <f t="shared" si="0"/>
        <v>2918174.1078748372</v>
      </c>
      <c r="J29" s="35">
        <f>SUM(J8:J27)</f>
        <v>208817</v>
      </c>
      <c r="K29" s="35">
        <f>SUM(K8:K27)</f>
        <v>4345671.7589067658</v>
      </c>
      <c r="L29" s="36">
        <f t="shared" ref="L29:M29" si="1">SUM(L8:L27)</f>
        <v>0</v>
      </c>
      <c r="M29" s="36">
        <f t="shared" si="1"/>
        <v>0</v>
      </c>
    </row>
    <row r="30" spans="1:13" ht="9.75" customHeight="1" thickTop="1" x14ac:dyDescent="0.3">
      <c r="A30" s="20" t="s">
        <v>57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</row>
    <row r="31" spans="1:13" ht="15.75" customHeigh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</row>
    <row r="32" spans="1:13" ht="27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3" ht="12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1:13" ht="12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1:13" ht="12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1:13" ht="12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1:13" ht="12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1:13" ht="12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3" ht="12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1:13" ht="12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1:13" ht="12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1:13" ht="12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13" ht="12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1:13" ht="12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ht="12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 ht="12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 ht="12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3" ht="12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ht="12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1:13" ht="12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 ht="12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1:13" ht="12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 ht="12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 ht="12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 ht="12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 ht="12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ht="12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 ht="12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 ht="12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 ht="12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 ht="12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 ht="12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 ht="12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 ht="12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 ht="12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 ht="12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 ht="12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 ht="12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 ht="12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 ht="12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 ht="12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 ht="12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 ht="12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 ht="12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 ht="12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 ht="12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 ht="12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 ht="12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 ht="12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 ht="12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 ht="12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 ht="12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 ht="12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 ht="12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 ht="12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 ht="12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 ht="12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 ht="12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 ht="12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1:13" ht="12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3" ht="12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1:13" ht="12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 ht="12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1:13" ht="12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1:13" ht="12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1:13" ht="12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1:13" ht="12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1:13" ht="12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1:13" ht="12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1:13" ht="12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1:13" ht="12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1:13" ht="12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1:13" ht="12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1:13" ht="12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1:13" ht="12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1:13" ht="12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1:13" ht="12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1:13" ht="12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1:13" ht="12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1:13" ht="12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1:13" ht="12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1:13" ht="12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1:13" ht="12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1:13" ht="12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1:13" ht="12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1:13" ht="12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1:13" ht="12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1:13" ht="12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1:13" ht="12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1:13" ht="12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1:13" ht="12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1:13" ht="12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1:13" ht="12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1:13" ht="12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1:13" ht="12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1:13" ht="12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1:13" ht="12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1:13" ht="12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1:13" ht="12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1:13" ht="12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1:13" ht="12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1:13" ht="12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1:13" ht="12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1:13" ht="12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1:13" ht="12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1:13" ht="12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1:13" ht="12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spans="1:13" ht="12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spans="1:13" ht="12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 spans="1:13" ht="12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 spans="1:13" ht="12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 spans="1:13" ht="12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 spans="1:13" ht="12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</row>
    <row r="144" spans="1:13" ht="12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2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</row>
    <row r="146" spans="1:13" ht="12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</row>
    <row r="147" spans="1:13" ht="12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</row>
    <row r="148" spans="1:13" ht="12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</row>
    <row r="149" spans="1:13" ht="12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</row>
    <row r="150" spans="1:13" ht="12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</row>
    <row r="151" spans="1:13" ht="12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</row>
    <row r="152" spans="1:13" ht="12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</row>
    <row r="153" spans="1:13" ht="12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</row>
    <row r="154" spans="1:13" ht="12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</row>
    <row r="155" spans="1:13" ht="12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</row>
    <row r="156" spans="1:13" ht="12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</row>
    <row r="157" spans="1:13" ht="12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</row>
    <row r="158" spans="1:13" ht="12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</row>
    <row r="159" spans="1:13" ht="12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</row>
    <row r="160" spans="1:13" ht="12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</row>
    <row r="161" spans="1:13" ht="12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</row>
    <row r="162" spans="1:13" ht="12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 spans="1:13" ht="12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</row>
    <row r="164" spans="1:13" ht="12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</row>
    <row r="165" spans="1:13" ht="12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</row>
    <row r="166" spans="1:13" ht="12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</row>
    <row r="167" spans="1:13" ht="12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</row>
    <row r="168" spans="1:13" ht="12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</row>
    <row r="169" spans="1:13" ht="12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</row>
    <row r="170" spans="1:13" ht="12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</row>
    <row r="171" spans="1:13" ht="12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</row>
    <row r="172" spans="1:13" ht="12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</row>
    <row r="173" spans="1:13" ht="12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</row>
    <row r="174" spans="1:13" ht="12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</row>
    <row r="175" spans="1:13" ht="12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</row>
    <row r="176" spans="1:13" ht="12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</row>
    <row r="177" spans="1:13" ht="12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</row>
    <row r="178" spans="1:13" ht="12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</row>
    <row r="179" spans="1:13" ht="12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</row>
    <row r="180" spans="1:13" ht="12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</row>
    <row r="181" spans="1:13" ht="12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</row>
    <row r="182" spans="1:13" ht="12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</row>
    <row r="183" spans="1:13" ht="12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</row>
    <row r="184" spans="1:13" ht="12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</row>
    <row r="185" spans="1:13" ht="12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</row>
    <row r="186" spans="1:13" ht="12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</row>
    <row r="187" spans="1:13" ht="12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</row>
    <row r="188" spans="1:13" ht="12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</row>
    <row r="189" spans="1:13" ht="12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</row>
    <row r="190" spans="1:13" ht="12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</row>
    <row r="191" spans="1:13" ht="12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</row>
    <row r="192" spans="1:13" ht="12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</row>
    <row r="193" spans="1:13" ht="12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</row>
    <row r="194" spans="1:13" ht="12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</row>
    <row r="195" spans="1:13" ht="12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</row>
    <row r="196" spans="1:13" ht="12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</row>
    <row r="197" spans="1:13" ht="12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</row>
    <row r="198" spans="1:13" ht="12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</row>
    <row r="199" spans="1:13" ht="12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</row>
    <row r="200" spans="1:13" ht="12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</row>
    <row r="201" spans="1:13" ht="12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</row>
    <row r="202" spans="1:13" ht="12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</row>
    <row r="203" spans="1:13" ht="12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</row>
    <row r="204" spans="1:13" ht="12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</row>
    <row r="205" spans="1:13" ht="12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</row>
    <row r="206" spans="1:13" ht="12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</row>
    <row r="207" spans="1:13" ht="12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</row>
    <row r="208" spans="1:13" ht="12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</row>
    <row r="209" spans="1:13" ht="12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</row>
    <row r="210" spans="1:13" ht="12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</row>
    <row r="211" spans="1:13" ht="12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</row>
    <row r="212" spans="1:13" ht="12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</row>
    <row r="213" spans="1:13" ht="12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</row>
    <row r="214" spans="1:13" ht="12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</row>
    <row r="215" spans="1:13" ht="12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</row>
    <row r="216" spans="1:13" ht="12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</row>
    <row r="217" spans="1:13" ht="12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</row>
    <row r="218" spans="1:13" ht="12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</row>
    <row r="219" spans="1:13" ht="12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</row>
    <row r="220" spans="1:13" ht="12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</row>
    <row r="221" spans="1:13" ht="12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</row>
    <row r="222" spans="1:13" ht="12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</row>
    <row r="223" spans="1:13" ht="12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</row>
    <row r="224" spans="1:13" ht="12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</row>
    <row r="225" spans="1:13" ht="12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</row>
    <row r="226" spans="1:13" ht="12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</row>
    <row r="227" spans="1:13" ht="12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</row>
    <row r="228" spans="1:13" ht="12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</row>
    <row r="229" spans="1:13" ht="12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</row>
    <row r="230" spans="1:13" ht="12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</row>
    <row r="231" spans="1:13" ht="12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</row>
    <row r="232" spans="1:13" ht="12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</row>
    <row r="233" spans="1:13" ht="12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</row>
    <row r="234" spans="1:13" ht="12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</row>
    <row r="235" spans="1:13" ht="12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</row>
    <row r="236" spans="1:13" ht="12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</row>
    <row r="237" spans="1:13" ht="12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</row>
    <row r="238" spans="1:13" ht="12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</row>
    <row r="239" spans="1:13" ht="12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</row>
    <row r="240" spans="1:13" ht="12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</row>
    <row r="241" spans="1:13" ht="12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</row>
    <row r="242" spans="1:13" ht="12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</row>
    <row r="243" spans="1:13" ht="12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</row>
    <row r="244" spans="1:13" ht="12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</row>
    <row r="245" spans="1:13" ht="12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</row>
    <row r="246" spans="1:13" ht="12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</row>
    <row r="247" spans="1:13" ht="12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</row>
    <row r="248" spans="1:13" ht="12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</row>
    <row r="249" spans="1:13" ht="12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</row>
    <row r="250" spans="1:13" ht="12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</row>
    <row r="251" spans="1:13" ht="12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</row>
    <row r="252" spans="1:13" ht="12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</row>
    <row r="253" spans="1:13" ht="12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</row>
    <row r="254" spans="1:13" ht="12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</row>
    <row r="255" spans="1:13" ht="12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</row>
    <row r="256" spans="1:13" ht="12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</row>
    <row r="257" spans="1:13" ht="12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</row>
    <row r="258" spans="1:13" ht="12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</row>
    <row r="259" spans="1:13" ht="12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</row>
    <row r="260" spans="1:13" ht="12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</row>
    <row r="261" spans="1:13" ht="12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</row>
    <row r="262" spans="1:13" ht="12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</row>
    <row r="263" spans="1:13" ht="12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</row>
    <row r="264" spans="1:13" ht="12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</row>
    <row r="265" spans="1:13" ht="12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</row>
    <row r="266" spans="1:13" ht="12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</row>
    <row r="267" spans="1:13" ht="12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</row>
    <row r="268" spans="1:13" ht="12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</row>
    <row r="269" spans="1:13" ht="12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</row>
    <row r="270" spans="1:13" ht="12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</row>
    <row r="271" spans="1:13" ht="12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</row>
    <row r="272" spans="1:13" ht="12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</row>
    <row r="273" spans="1:13" ht="12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</row>
    <row r="274" spans="1:13" ht="12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</row>
    <row r="275" spans="1:13" ht="12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</row>
    <row r="276" spans="1:13" ht="12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</row>
    <row r="277" spans="1:13" ht="12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</row>
    <row r="278" spans="1:13" ht="12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</row>
    <row r="279" spans="1:13" ht="12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</row>
    <row r="280" spans="1:13" ht="12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</row>
    <row r="281" spans="1:13" ht="12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</row>
    <row r="282" spans="1:13" ht="12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</row>
    <row r="283" spans="1:13" ht="12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</row>
    <row r="284" spans="1:13" ht="12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</row>
    <row r="285" spans="1:13" ht="12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</row>
    <row r="286" spans="1:13" ht="12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</row>
    <row r="287" spans="1:13" ht="12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</row>
    <row r="288" spans="1:13" ht="12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</row>
    <row r="289" spans="1:13" ht="12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</row>
    <row r="290" spans="1:13" ht="12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</row>
    <row r="291" spans="1:13" ht="12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</row>
    <row r="292" spans="1:13" ht="12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</row>
    <row r="293" spans="1:13" ht="12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</row>
    <row r="294" spans="1:13" ht="12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</row>
    <row r="295" spans="1:13" ht="12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</row>
    <row r="296" spans="1:13" ht="12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</row>
    <row r="297" spans="1:13" ht="12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</row>
    <row r="298" spans="1:13" ht="12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</row>
    <row r="299" spans="1:13" ht="12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</row>
    <row r="300" spans="1:13" ht="12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</row>
    <row r="301" spans="1:13" ht="12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</row>
    <row r="302" spans="1:13" ht="12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</row>
    <row r="303" spans="1:13" ht="12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</row>
    <row r="304" spans="1:13" ht="12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</row>
    <row r="305" spans="1:13" ht="12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</row>
    <row r="306" spans="1:13" ht="12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</row>
    <row r="307" spans="1:13" ht="12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</row>
    <row r="308" spans="1:13" ht="12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</row>
    <row r="309" spans="1:13" ht="12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</row>
    <row r="310" spans="1:13" ht="12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</row>
    <row r="311" spans="1:13" ht="12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</row>
    <row r="312" spans="1:13" ht="12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</row>
    <row r="313" spans="1:13" ht="12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</row>
    <row r="314" spans="1:13" ht="12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</row>
    <row r="315" spans="1:13" ht="12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</row>
    <row r="316" spans="1:13" ht="12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</row>
    <row r="317" spans="1:13" ht="12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</row>
    <row r="318" spans="1:13" ht="12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</row>
    <row r="319" spans="1:13" ht="12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</row>
    <row r="320" spans="1:13" ht="12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</row>
    <row r="321" spans="1:13" ht="12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</row>
    <row r="322" spans="1:13" ht="12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</row>
    <row r="323" spans="1:13" ht="12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</row>
    <row r="324" spans="1:13" ht="12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</row>
    <row r="325" spans="1:13" ht="12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</row>
    <row r="326" spans="1:13" ht="12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</row>
    <row r="327" spans="1:13" ht="12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</row>
    <row r="328" spans="1:13" ht="12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</row>
    <row r="329" spans="1:13" ht="12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</row>
    <row r="330" spans="1:13" ht="12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</row>
    <row r="331" spans="1:13" ht="12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</row>
    <row r="332" spans="1:13" ht="12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</row>
    <row r="333" spans="1:13" ht="12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</row>
    <row r="334" spans="1:13" ht="12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</row>
    <row r="335" spans="1:13" ht="12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</row>
    <row r="336" spans="1:13" ht="12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</row>
    <row r="337" spans="1:13" ht="12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</row>
    <row r="338" spans="1:13" ht="12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</row>
    <row r="339" spans="1:13" ht="12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</row>
    <row r="340" spans="1:13" ht="12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</row>
    <row r="341" spans="1:13" ht="12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</row>
    <row r="342" spans="1:13" ht="12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</row>
    <row r="343" spans="1:13" ht="12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</row>
    <row r="344" spans="1:13" ht="12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</row>
    <row r="345" spans="1:13" ht="12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</row>
    <row r="346" spans="1:13" ht="12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</row>
    <row r="347" spans="1:13" ht="12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</row>
    <row r="348" spans="1:13" ht="12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</row>
    <row r="349" spans="1:13" ht="12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</row>
    <row r="350" spans="1:13" ht="12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</row>
    <row r="351" spans="1:13" ht="12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</row>
    <row r="352" spans="1:13" ht="12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</row>
    <row r="353" spans="1:13" ht="12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</row>
    <row r="354" spans="1:13" ht="12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</row>
    <row r="355" spans="1:13" ht="12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</row>
    <row r="356" spans="1:13" ht="12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</row>
    <row r="357" spans="1:13" ht="12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</row>
    <row r="358" spans="1:13" ht="12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</row>
    <row r="359" spans="1:13" ht="12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</row>
    <row r="360" spans="1:13" ht="12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</row>
    <row r="361" spans="1:13" ht="12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</row>
    <row r="362" spans="1:13" ht="12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</row>
    <row r="363" spans="1:13" ht="12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</row>
    <row r="364" spans="1:13" ht="12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</row>
    <row r="365" spans="1:13" ht="12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</row>
    <row r="366" spans="1:13" ht="12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</row>
    <row r="367" spans="1:13" ht="12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</row>
    <row r="368" spans="1:13" ht="12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</row>
    <row r="369" spans="1:13" ht="12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</row>
    <row r="370" spans="1:13" ht="12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</row>
    <row r="371" spans="1:13" ht="12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</row>
    <row r="372" spans="1:13" ht="12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</row>
    <row r="373" spans="1:13" ht="12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</row>
    <row r="374" spans="1:13" ht="12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</row>
    <row r="375" spans="1:13" ht="12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</row>
    <row r="376" spans="1:13" ht="12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</row>
    <row r="377" spans="1:13" ht="12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</row>
    <row r="378" spans="1:13" ht="12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</row>
    <row r="379" spans="1:13" ht="12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</row>
    <row r="380" spans="1:13" ht="12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</row>
    <row r="381" spans="1:13" ht="12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</row>
    <row r="382" spans="1:13" ht="12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</row>
    <row r="383" spans="1:13" ht="12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</row>
    <row r="384" spans="1:13" ht="12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</row>
    <row r="385" spans="1:13" ht="12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</row>
    <row r="386" spans="1:13" ht="12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</row>
    <row r="387" spans="1:13" ht="12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</row>
    <row r="388" spans="1:13" ht="12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</row>
    <row r="389" spans="1:13" ht="12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</row>
    <row r="390" spans="1:13" ht="12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</row>
    <row r="391" spans="1:13" ht="12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</row>
    <row r="392" spans="1:13" ht="12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</row>
    <row r="393" spans="1:13" ht="12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</row>
    <row r="394" spans="1:13" ht="12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</row>
    <row r="395" spans="1:13" ht="12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</row>
    <row r="396" spans="1:13" ht="12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</row>
    <row r="397" spans="1:13" ht="12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</row>
    <row r="398" spans="1:13" ht="12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</row>
    <row r="399" spans="1:13" ht="12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</row>
    <row r="400" spans="1:13" ht="12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</row>
    <row r="401" spans="1:13" ht="12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</row>
    <row r="402" spans="1:13" ht="12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</row>
    <row r="403" spans="1:13" ht="12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</row>
    <row r="404" spans="1:13" ht="12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</row>
    <row r="405" spans="1:13" ht="12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</row>
    <row r="406" spans="1:13" ht="12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</row>
    <row r="407" spans="1:13" ht="12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</row>
    <row r="408" spans="1:13" ht="12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</row>
    <row r="409" spans="1:13" ht="12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</row>
    <row r="410" spans="1:13" ht="12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</row>
    <row r="411" spans="1:13" ht="12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</row>
    <row r="412" spans="1:13" ht="12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</row>
    <row r="413" spans="1:13" ht="12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</row>
    <row r="414" spans="1:13" ht="12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</row>
    <row r="415" spans="1:13" ht="12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</row>
    <row r="416" spans="1:13" ht="12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</row>
    <row r="417" spans="1:13" ht="12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</row>
    <row r="418" spans="1:13" ht="12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</row>
    <row r="419" spans="1:13" ht="12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</row>
    <row r="420" spans="1:13" ht="12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</row>
    <row r="421" spans="1:13" ht="12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</row>
    <row r="422" spans="1:13" ht="12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</row>
    <row r="423" spans="1:13" ht="12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</row>
    <row r="424" spans="1:13" ht="12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</row>
    <row r="425" spans="1:13" ht="12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</row>
    <row r="426" spans="1:13" ht="12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</row>
    <row r="427" spans="1:13" ht="12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</row>
    <row r="428" spans="1:13" ht="12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</row>
    <row r="429" spans="1:13" ht="12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</row>
    <row r="430" spans="1:13" ht="12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</row>
    <row r="431" spans="1:13" ht="12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</row>
    <row r="432" spans="1:13" ht="12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</row>
    <row r="433" spans="1:13" ht="12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</row>
    <row r="434" spans="1:13" ht="12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</row>
    <row r="435" spans="1:13" ht="12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</row>
    <row r="436" spans="1:13" ht="12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</row>
    <row r="437" spans="1:13" ht="12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</row>
    <row r="438" spans="1:13" ht="12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</row>
    <row r="439" spans="1:13" ht="12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</row>
    <row r="440" spans="1:13" ht="12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</row>
    <row r="441" spans="1:13" ht="12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</row>
    <row r="442" spans="1:13" ht="12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</row>
    <row r="443" spans="1:13" ht="12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</row>
    <row r="444" spans="1:13" ht="12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</row>
    <row r="445" spans="1:13" ht="12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</row>
    <row r="446" spans="1:13" ht="12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</row>
    <row r="447" spans="1:13" ht="12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</row>
    <row r="448" spans="1:13" ht="12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</row>
    <row r="449" spans="1:13" ht="12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</row>
    <row r="450" spans="1:13" ht="12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</row>
    <row r="451" spans="1:13" ht="12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</row>
    <row r="452" spans="1:13" ht="12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</row>
    <row r="453" spans="1:13" ht="12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</row>
    <row r="454" spans="1:13" ht="12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</row>
    <row r="455" spans="1:13" ht="12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</row>
    <row r="456" spans="1:13" ht="12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</row>
    <row r="457" spans="1:13" ht="12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</row>
    <row r="458" spans="1:13" ht="12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</row>
    <row r="459" spans="1:13" ht="12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</row>
    <row r="460" spans="1:13" ht="12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</row>
    <row r="461" spans="1:13" ht="12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</row>
    <row r="462" spans="1:13" ht="12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</row>
    <row r="463" spans="1:13" ht="12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</row>
    <row r="464" spans="1:13" ht="12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</row>
    <row r="465" spans="1:13" ht="12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</row>
    <row r="466" spans="1:13" ht="12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</row>
    <row r="467" spans="1:13" ht="12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</row>
    <row r="468" spans="1:13" ht="12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</row>
    <row r="469" spans="1:13" ht="12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</row>
    <row r="470" spans="1:13" ht="12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</row>
    <row r="471" spans="1:13" ht="12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</row>
    <row r="472" spans="1:13" ht="12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</row>
    <row r="473" spans="1:13" ht="12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</row>
    <row r="474" spans="1:13" ht="12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</row>
    <row r="475" spans="1:13" ht="12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</row>
    <row r="476" spans="1:13" ht="12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</row>
    <row r="477" spans="1:13" ht="12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</row>
    <row r="478" spans="1:13" ht="12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</row>
    <row r="479" spans="1:13" ht="12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</row>
    <row r="480" spans="1:13" ht="12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</row>
    <row r="481" spans="1:13" ht="12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</row>
    <row r="482" spans="1:13" ht="12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</row>
    <row r="483" spans="1:13" ht="12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</row>
    <row r="484" spans="1:13" ht="12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</row>
    <row r="485" spans="1:13" ht="12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</row>
    <row r="486" spans="1:13" ht="12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</row>
    <row r="487" spans="1:13" ht="12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</row>
    <row r="488" spans="1:13" ht="12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</row>
    <row r="489" spans="1:13" ht="12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</row>
    <row r="490" spans="1:13" ht="12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</row>
    <row r="491" spans="1:13" ht="12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</row>
    <row r="492" spans="1:13" ht="12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</row>
    <row r="493" spans="1:13" ht="12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</row>
    <row r="494" spans="1:13" ht="12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</row>
    <row r="495" spans="1:13" ht="12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</row>
    <row r="496" spans="1:13" ht="12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</row>
    <row r="497" spans="1:13" ht="12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</row>
    <row r="498" spans="1:13" ht="12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</row>
    <row r="499" spans="1:13" ht="12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</row>
    <row r="500" spans="1:13" ht="12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</row>
    <row r="501" spans="1:13" ht="12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</row>
    <row r="502" spans="1:13" ht="12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</row>
    <row r="503" spans="1:13" ht="12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</row>
    <row r="504" spans="1:13" ht="12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</row>
    <row r="505" spans="1:13" ht="12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</row>
    <row r="506" spans="1:13" ht="12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</row>
    <row r="507" spans="1:13" ht="12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</row>
    <row r="508" spans="1:13" ht="12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</row>
    <row r="509" spans="1:13" ht="12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</row>
    <row r="510" spans="1:13" ht="12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</row>
    <row r="511" spans="1:13" ht="12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</row>
    <row r="512" spans="1:13" ht="12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</row>
    <row r="513" spans="1:13" ht="12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</row>
    <row r="514" spans="1:13" ht="12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</row>
    <row r="515" spans="1:13" ht="12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</row>
    <row r="516" spans="1:13" ht="12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</row>
    <row r="517" spans="1:13" ht="12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</row>
    <row r="518" spans="1:13" ht="12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</row>
    <row r="519" spans="1:13" ht="12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</row>
    <row r="520" spans="1:13" ht="12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</row>
    <row r="521" spans="1:13" ht="12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</row>
    <row r="522" spans="1:13" ht="12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</row>
    <row r="523" spans="1:13" ht="12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</row>
    <row r="524" spans="1:13" ht="12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</row>
    <row r="525" spans="1:13" ht="12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</row>
    <row r="526" spans="1:13" ht="12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</row>
    <row r="527" spans="1:13" ht="12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</row>
    <row r="528" spans="1:13" ht="12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</row>
    <row r="529" spans="1:13" ht="12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</row>
    <row r="530" spans="1:13" ht="12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</row>
    <row r="531" spans="1:13" ht="12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</row>
    <row r="532" spans="1:13" ht="12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</row>
    <row r="533" spans="1:13" ht="12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</row>
    <row r="534" spans="1:13" ht="12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</row>
    <row r="535" spans="1:13" ht="12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</row>
    <row r="536" spans="1:13" ht="12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</row>
    <row r="537" spans="1:13" ht="12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</row>
    <row r="538" spans="1:13" ht="12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</row>
    <row r="539" spans="1:13" ht="12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</row>
    <row r="540" spans="1:13" ht="12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</row>
    <row r="541" spans="1:13" ht="12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</row>
    <row r="542" spans="1:13" ht="12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</row>
    <row r="543" spans="1:13" ht="12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</row>
    <row r="544" spans="1:13" ht="12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</row>
    <row r="545" spans="1:13" ht="12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</row>
    <row r="546" spans="1:13" ht="12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</row>
    <row r="547" spans="1:13" ht="12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</row>
    <row r="548" spans="1:13" ht="12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</row>
    <row r="549" spans="1:13" ht="12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</row>
    <row r="550" spans="1:13" ht="12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</row>
    <row r="551" spans="1:13" ht="12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</row>
    <row r="552" spans="1:13" ht="12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</row>
    <row r="553" spans="1:13" ht="12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</row>
    <row r="554" spans="1:13" ht="12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</row>
    <row r="555" spans="1:13" ht="12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</row>
    <row r="556" spans="1:13" ht="12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</row>
    <row r="557" spans="1:13" ht="12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</row>
    <row r="558" spans="1:13" ht="12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</row>
    <row r="559" spans="1:13" ht="12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</row>
    <row r="560" spans="1:13" ht="12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</row>
    <row r="561" spans="1:13" ht="12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</row>
    <row r="562" spans="1:13" ht="12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</row>
    <row r="563" spans="1:13" ht="12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</row>
    <row r="564" spans="1:13" ht="12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</row>
    <row r="565" spans="1:13" ht="12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</row>
    <row r="566" spans="1:13" ht="12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</row>
    <row r="567" spans="1:13" ht="12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</row>
    <row r="568" spans="1:13" ht="12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</row>
    <row r="569" spans="1:13" ht="12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</row>
    <row r="570" spans="1:13" ht="12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</row>
    <row r="571" spans="1:13" ht="12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</row>
    <row r="572" spans="1:13" ht="12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</row>
    <row r="573" spans="1:13" ht="12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</row>
    <row r="574" spans="1:13" ht="12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</row>
    <row r="575" spans="1:13" ht="12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</row>
    <row r="576" spans="1:13" ht="12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</row>
    <row r="577" spans="1:13" ht="12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</row>
    <row r="578" spans="1:13" ht="12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</row>
    <row r="579" spans="1:13" ht="12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</row>
    <row r="580" spans="1:13" ht="12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</row>
    <row r="581" spans="1:13" ht="12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</row>
    <row r="582" spans="1:13" ht="12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</row>
    <row r="583" spans="1:13" ht="12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</row>
    <row r="584" spans="1:13" ht="12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</row>
    <row r="585" spans="1:13" ht="12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</row>
    <row r="586" spans="1:13" ht="12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</row>
    <row r="587" spans="1:13" ht="12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</row>
    <row r="588" spans="1:13" ht="12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</row>
    <row r="589" spans="1:13" ht="12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</row>
    <row r="590" spans="1:13" ht="12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</row>
    <row r="591" spans="1:13" ht="12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</row>
    <row r="592" spans="1:13" ht="12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</row>
    <row r="593" spans="1:13" ht="12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</row>
    <row r="594" spans="1:13" ht="12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</row>
    <row r="595" spans="1:13" ht="12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</row>
    <row r="596" spans="1:13" ht="12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</row>
    <row r="597" spans="1:13" ht="12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</row>
    <row r="598" spans="1:13" ht="12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</row>
    <row r="599" spans="1:13" ht="12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</row>
    <row r="600" spans="1:13" ht="12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</row>
    <row r="601" spans="1:13" ht="12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</row>
    <row r="602" spans="1:13" ht="12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</row>
    <row r="603" spans="1:13" ht="12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</row>
    <row r="604" spans="1:13" ht="12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</row>
    <row r="605" spans="1:13" ht="12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</row>
    <row r="606" spans="1:13" ht="12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</row>
    <row r="607" spans="1:13" ht="12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</row>
    <row r="608" spans="1:13" ht="12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</row>
    <row r="609" spans="1:13" ht="12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</row>
    <row r="610" spans="1:13" ht="12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</row>
    <row r="611" spans="1:13" ht="12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</row>
    <row r="612" spans="1:13" ht="12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</row>
    <row r="613" spans="1:13" ht="12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</row>
    <row r="614" spans="1:13" ht="12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</row>
    <row r="615" spans="1:13" ht="12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</row>
    <row r="616" spans="1:13" ht="12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</row>
    <row r="617" spans="1:13" ht="12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</row>
    <row r="618" spans="1:13" ht="12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</row>
    <row r="619" spans="1:13" ht="12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</row>
    <row r="620" spans="1:13" ht="12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</row>
    <row r="621" spans="1:13" ht="12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</row>
    <row r="622" spans="1:13" ht="12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</row>
    <row r="623" spans="1:13" ht="12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</row>
    <row r="624" spans="1:13" ht="12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</row>
    <row r="625" spans="1:13" ht="12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</row>
    <row r="626" spans="1:13" ht="12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</row>
    <row r="627" spans="1:13" ht="12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</row>
    <row r="628" spans="1:13" ht="12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</row>
    <row r="629" spans="1:13" ht="12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</row>
    <row r="630" spans="1:13" ht="12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</row>
    <row r="631" spans="1:13" ht="12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</row>
    <row r="632" spans="1:13" ht="12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</row>
    <row r="633" spans="1:13" ht="12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</row>
    <row r="634" spans="1:13" ht="12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</row>
    <row r="635" spans="1:13" ht="12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</row>
    <row r="636" spans="1:13" ht="12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</row>
    <row r="637" spans="1:13" ht="12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</row>
    <row r="638" spans="1:13" ht="12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</row>
    <row r="639" spans="1:13" ht="12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</row>
    <row r="640" spans="1:13" ht="12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</row>
    <row r="641" spans="1:13" ht="12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</row>
    <row r="642" spans="1:13" ht="12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</row>
    <row r="643" spans="1:13" ht="12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</row>
    <row r="644" spans="1:13" ht="12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</row>
    <row r="645" spans="1:13" ht="12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</row>
    <row r="646" spans="1:13" ht="12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</row>
    <row r="647" spans="1:13" ht="12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</row>
    <row r="648" spans="1:13" ht="12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</row>
    <row r="649" spans="1:13" ht="12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</row>
    <row r="650" spans="1:13" ht="12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</row>
    <row r="651" spans="1:13" ht="12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</row>
    <row r="652" spans="1:13" ht="12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</row>
    <row r="653" spans="1:13" ht="12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</row>
    <row r="654" spans="1:13" ht="12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</row>
    <row r="655" spans="1:13" ht="12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</row>
    <row r="656" spans="1:13" ht="12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</row>
    <row r="657" spans="1:13" ht="12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</row>
    <row r="658" spans="1:13" ht="12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</row>
    <row r="659" spans="1:13" ht="12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</row>
    <row r="660" spans="1:13" ht="12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</row>
    <row r="661" spans="1:13" ht="12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</row>
    <row r="662" spans="1:13" ht="12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</row>
    <row r="663" spans="1:13" ht="12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</row>
    <row r="664" spans="1:13" ht="12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</row>
    <row r="665" spans="1:13" ht="12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</row>
    <row r="666" spans="1:13" ht="12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</row>
    <row r="667" spans="1:13" ht="12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</row>
    <row r="668" spans="1:13" ht="12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</row>
    <row r="669" spans="1:13" ht="12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</row>
    <row r="670" spans="1:13" ht="12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</row>
    <row r="671" spans="1:13" ht="12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</row>
    <row r="672" spans="1:13" ht="12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</row>
    <row r="673" spans="1:13" ht="12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</row>
    <row r="674" spans="1:13" ht="12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</row>
    <row r="675" spans="1:13" ht="12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</row>
    <row r="676" spans="1:13" ht="12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</row>
    <row r="677" spans="1:13" ht="12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</row>
    <row r="678" spans="1:13" ht="12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</row>
    <row r="679" spans="1:13" ht="12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</row>
    <row r="680" spans="1:13" ht="12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</row>
    <row r="681" spans="1:13" ht="12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</row>
    <row r="682" spans="1:13" ht="12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</row>
    <row r="683" spans="1:13" ht="12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</row>
    <row r="684" spans="1:13" ht="12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</row>
    <row r="685" spans="1:13" ht="12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</row>
    <row r="686" spans="1:13" ht="12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</row>
    <row r="687" spans="1:13" ht="12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</row>
    <row r="688" spans="1:13" ht="12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</row>
    <row r="689" spans="1:13" ht="12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</row>
    <row r="690" spans="1:13" ht="12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</row>
    <row r="691" spans="1:13" ht="12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</row>
    <row r="692" spans="1:13" ht="12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</row>
    <row r="693" spans="1:13" ht="12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</row>
    <row r="694" spans="1:13" ht="12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</row>
    <row r="695" spans="1:13" ht="12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</row>
    <row r="696" spans="1:13" ht="12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</row>
    <row r="697" spans="1:13" ht="12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</row>
    <row r="698" spans="1:13" ht="12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</row>
    <row r="699" spans="1:13" ht="12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</row>
    <row r="700" spans="1:13" ht="12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</row>
    <row r="701" spans="1:13" ht="12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</row>
    <row r="702" spans="1:13" ht="12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</row>
    <row r="703" spans="1:13" ht="12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</row>
    <row r="704" spans="1:13" ht="12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</row>
    <row r="705" spans="1:13" ht="12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</row>
    <row r="706" spans="1:13" ht="12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</row>
    <row r="707" spans="1:13" ht="12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</row>
    <row r="708" spans="1:13" ht="12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</row>
    <row r="709" spans="1:13" ht="12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</row>
    <row r="710" spans="1:13" ht="12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</row>
    <row r="711" spans="1:13" ht="12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</row>
    <row r="712" spans="1:13" ht="12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</row>
    <row r="713" spans="1:13" ht="12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</row>
    <row r="714" spans="1:13" ht="12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</row>
    <row r="715" spans="1:13" ht="12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</row>
    <row r="716" spans="1:13" ht="12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</row>
    <row r="717" spans="1:13" ht="12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</row>
    <row r="718" spans="1:13" ht="12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</row>
    <row r="719" spans="1:13" ht="12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</row>
    <row r="720" spans="1:13" ht="12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</row>
    <row r="721" spans="1:13" ht="12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</row>
    <row r="722" spans="1:13" ht="12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</row>
    <row r="723" spans="1:13" ht="12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</row>
    <row r="724" spans="1:13" ht="12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</row>
    <row r="725" spans="1:13" ht="12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</row>
    <row r="726" spans="1:13" ht="12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</row>
    <row r="727" spans="1:13" ht="12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</row>
    <row r="728" spans="1:13" ht="12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</row>
    <row r="729" spans="1:13" ht="12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</row>
    <row r="730" spans="1:13" ht="12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</row>
    <row r="731" spans="1:13" ht="12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</row>
    <row r="732" spans="1:13" ht="12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</row>
    <row r="733" spans="1:13" ht="12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</row>
    <row r="734" spans="1:13" ht="12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</row>
    <row r="735" spans="1:13" ht="12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</row>
    <row r="736" spans="1:13" ht="12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</row>
    <row r="737" spans="1:13" ht="12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</row>
    <row r="738" spans="1:13" ht="12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</row>
    <row r="739" spans="1:13" ht="12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</row>
    <row r="740" spans="1:13" ht="12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</row>
    <row r="741" spans="1:13" ht="12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</row>
    <row r="742" spans="1:13" ht="12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</row>
    <row r="743" spans="1:13" ht="12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</row>
    <row r="744" spans="1:13" ht="12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</row>
    <row r="745" spans="1:13" ht="12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</row>
    <row r="746" spans="1:13" ht="12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</row>
    <row r="747" spans="1:13" ht="12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</row>
    <row r="748" spans="1:13" ht="12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</row>
    <row r="749" spans="1:13" ht="12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</row>
    <row r="750" spans="1:13" ht="12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</row>
    <row r="751" spans="1:13" ht="12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</row>
    <row r="752" spans="1:13" ht="12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</row>
    <row r="753" spans="1:13" ht="12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</row>
    <row r="754" spans="1:13" ht="12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</row>
    <row r="755" spans="1:13" ht="12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</row>
    <row r="756" spans="1:13" ht="12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</row>
    <row r="757" spans="1:13" ht="12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</row>
    <row r="758" spans="1:13" ht="12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</row>
    <row r="759" spans="1:13" ht="12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</row>
    <row r="760" spans="1:13" ht="12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</row>
    <row r="761" spans="1:13" ht="12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</row>
    <row r="762" spans="1:13" ht="12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</row>
    <row r="763" spans="1:13" ht="12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</row>
    <row r="764" spans="1:13" ht="12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</row>
    <row r="765" spans="1:13" ht="12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</row>
    <row r="766" spans="1:13" ht="12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</row>
    <row r="767" spans="1:13" ht="12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</row>
    <row r="768" spans="1:13" ht="12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</row>
    <row r="769" spans="1:13" ht="12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</row>
    <row r="770" spans="1:13" ht="12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</row>
    <row r="771" spans="1:13" ht="12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</row>
    <row r="772" spans="1:13" ht="12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</row>
    <row r="773" spans="1:13" ht="12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</row>
    <row r="774" spans="1:13" ht="12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</row>
    <row r="775" spans="1:13" ht="12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</row>
    <row r="776" spans="1:13" ht="12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</row>
    <row r="777" spans="1:13" ht="12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</row>
    <row r="778" spans="1:13" ht="12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</row>
    <row r="779" spans="1:13" ht="12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</row>
    <row r="780" spans="1:13" ht="12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</row>
    <row r="781" spans="1:13" ht="12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</row>
    <row r="782" spans="1:13" ht="12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</row>
    <row r="783" spans="1:13" ht="12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</row>
    <row r="784" spans="1:13" ht="12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</row>
    <row r="785" spans="1:13" ht="12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</row>
    <row r="786" spans="1:13" ht="12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</row>
    <row r="787" spans="1:13" ht="12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</row>
    <row r="788" spans="1:13" ht="12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</row>
    <row r="789" spans="1:13" ht="12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</row>
    <row r="790" spans="1:13" ht="12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</row>
    <row r="791" spans="1:13" ht="12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</row>
    <row r="792" spans="1:13" ht="12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</row>
    <row r="793" spans="1:13" ht="12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</row>
    <row r="794" spans="1:13" ht="12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</row>
    <row r="795" spans="1:13" ht="12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</row>
    <row r="796" spans="1:13" ht="12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</row>
    <row r="797" spans="1:13" ht="12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</row>
    <row r="798" spans="1:13" ht="12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</row>
    <row r="799" spans="1:13" ht="12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</row>
    <row r="800" spans="1:13" ht="12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</row>
    <row r="801" spans="1:13" ht="12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</row>
    <row r="802" spans="1:13" ht="12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</row>
    <row r="803" spans="1:13" ht="12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</row>
    <row r="804" spans="1:13" ht="12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</row>
    <row r="805" spans="1:13" ht="12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</row>
    <row r="806" spans="1:13" ht="12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</row>
    <row r="807" spans="1:13" ht="12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</row>
    <row r="808" spans="1:13" ht="12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</row>
    <row r="809" spans="1:13" ht="12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</row>
    <row r="810" spans="1:13" ht="12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</row>
    <row r="811" spans="1:13" ht="12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</row>
    <row r="812" spans="1:13" ht="12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</row>
    <row r="813" spans="1:13" ht="12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</row>
    <row r="814" spans="1:13" ht="12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</row>
    <row r="815" spans="1:13" ht="12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</row>
    <row r="816" spans="1:13" ht="12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</row>
    <row r="817" spans="1:13" ht="12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</row>
    <row r="818" spans="1:13" ht="12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</row>
    <row r="819" spans="1:13" ht="12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</row>
    <row r="820" spans="1:13" ht="12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</row>
    <row r="821" spans="1:13" ht="12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</row>
    <row r="822" spans="1:13" ht="12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</row>
    <row r="823" spans="1:13" ht="12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</row>
    <row r="824" spans="1:13" ht="12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</row>
    <row r="825" spans="1:13" ht="12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</row>
    <row r="826" spans="1:13" ht="12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</row>
    <row r="827" spans="1:13" ht="12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</row>
    <row r="828" spans="1:13" ht="12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</row>
    <row r="829" spans="1:13" ht="12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</row>
    <row r="830" spans="1:13" ht="12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</row>
    <row r="831" spans="1:13" ht="12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</row>
    <row r="832" spans="1:13" ht="12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</row>
    <row r="833" spans="1:13" ht="12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</row>
    <row r="834" spans="1:13" ht="12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</row>
    <row r="835" spans="1:13" ht="12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</row>
    <row r="836" spans="1:13" ht="12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</row>
    <row r="837" spans="1:13" ht="12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</row>
    <row r="838" spans="1:13" ht="12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</row>
    <row r="839" spans="1:13" ht="12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</row>
    <row r="840" spans="1:13" ht="12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</row>
    <row r="841" spans="1:13" ht="12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</row>
    <row r="842" spans="1:13" ht="12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</row>
    <row r="843" spans="1:13" ht="12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</row>
    <row r="844" spans="1:13" ht="12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</row>
    <row r="845" spans="1:13" ht="12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</row>
    <row r="846" spans="1:13" ht="12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</row>
    <row r="847" spans="1:13" ht="12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</row>
    <row r="848" spans="1:13" ht="12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</row>
    <row r="849" spans="1:13" ht="12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</row>
    <row r="850" spans="1:13" ht="12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</row>
    <row r="851" spans="1:13" ht="12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</row>
    <row r="852" spans="1:13" ht="12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</row>
    <row r="853" spans="1:13" ht="12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</row>
    <row r="854" spans="1:13" ht="12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</row>
    <row r="855" spans="1:13" ht="12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</row>
    <row r="856" spans="1:13" ht="12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</row>
    <row r="857" spans="1:13" ht="12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</row>
    <row r="858" spans="1:13" ht="12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</row>
    <row r="859" spans="1:13" ht="12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</row>
    <row r="860" spans="1:13" ht="12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</row>
    <row r="861" spans="1:13" ht="12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</row>
    <row r="862" spans="1:13" ht="12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</row>
    <row r="863" spans="1:13" ht="12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</row>
    <row r="864" spans="1:13" ht="12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</row>
    <row r="865" spans="1:13" ht="12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</row>
    <row r="866" spans="1:13" ht="12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</row>
    <row r="867" spans="1:13" ht="12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</row>
    <row r="868" spans="1:13" ht="12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</row>
    <row r="869" spans="1:13" ht="12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</row>
    <row r="870" spans="1:13" ht="12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</row>
    <row r="871" spans="1:13" ht="12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</row>
    <row r="872" spans="1:13" ht="12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</row>
    <row r="873" spans="1:13" ht="12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</row>
    <row r="874" spans="1:13" ht="12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</row>
    <row r="875" spans="1:13" ht="12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</row>
    <row r="876" spans="1:13" ht="12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</row>
    <row r="877" spans="1:13" ht="12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</row>
    <row r="878" spans="1:13" ht="12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</row>
    <row r="879" spans="1:13" ht="12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</row>
    <row r="880" spans="1:13" ht="12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</row>
    <row r="881" spans="1:13" ht="12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</row>
    <row r="882" spans="1:13" ht="12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</row>
    <row r="883" spans="1:13" ht="12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</row>
    <row r="884" spans="1:13" ht="12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</row>
    <row r="885" spans="1:13" ht="12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</row>
    <row r="886" spans="1:13" ht="12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</row>
    <row r="887" spans="1:13" ht="12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</row>
    <row r="888" spans="1:13" ht="12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</row>
    <row r="889" spans="1:13" ht="12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</row>
    <row r="890" spans="1:13" ht="12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</row>
    <row r="891" spans="1:13" ht="12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</row>
    <row r="892" spans="1:13" ht="12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</row>
    <row r="893" spans="1:13" ht="12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</row>
    <row r="894" spans="1:13" ht="12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</row>
    <row r="895" spans="1:13" ht="12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</row>
    <row r="896" spans="1:13" ht="12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</row>
    <row r="897" spans="1:13" ht="12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</row>
    <row r="898" spans="1:13" ht="12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</row>
    <row r="899" spans="1:13" ht="12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</row>
    <row r="900" spans="1:13" ht="12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</row>
    <row r="901" spans="1:13" ht="12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</row>
    <row r="902" spans="1:13" ht="12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</row>
    <row r="903" spans="1:13" ht="12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</row>
    <row r="904" spans="1:13" ht="12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</row>
    <row r="905" spans="1:13" ht="12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</row>
    <row r="906" spans="1:13" ht="12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</row>
    <row r="907" spans="1:13" ht="12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</row>
    <row r="908" spans="1:13" ht="12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</row>
    <row r="909" spans="1:13" ht="12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</row>
    <row r="910" spans="1:13" ht="12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</row>
    <row r="911" spans="1:13" ht="12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</row>
    <row r="912" spans="1:13" ht="12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</row>
    <row r="913" spans="1:13" ht="12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</row>
    <row r="914" spans="1:13" ht="12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</row>
    <row r="915" spans="1:13" ht="12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</row>
    <row r="916" spans="1:13" ht="12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</row>
    <row r="917" spans="1:13" ht="12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</row>
    <row r="918" spans="1:13" ht="12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</row>
    <row r="919" spans="1:13" ht="12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</row>
    <row r="920" spans="1:13" ht="12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</row>
    <row r="921" spans="1:13" ht="12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</row>
    <row r="922" spans="1:13" ht="12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</row>
    <row r="923" spans="1:13" ht="12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</row>
    <row r="924" spans="1:13" ht="12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</row>
    <row r="925" spans="1:13" ht="12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</row>
    <row r="926" spans="1:13" ht="12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</row>
    <row r="927" spans="1:13" ht="12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</row>
    <row r="928" spans="1:13" ht="12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</row>
    <row r="929" spans="1:13" ht="12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</row>
    <row r="930" spans="1:13" ht="12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</row>
    <row r="931" spans="1:13" ht="12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</row>
    <row r="932" spans="1:13" ht="12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</row>
    <row r="933" spans="1:13" ht="12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</row>
    <row r="934" spans="1:13" ht="12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</row>
    <row r="935" spans="1:13" ht="12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</row>
    <row r="936" spans="1:13" ht="12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</row>
    <row r="937" spans="1:13" ht="12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</row>
    <row r="938" spans="1:13" ht="12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</row>
    <row r="939" spans="1:13" ht="12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</row>
    <row r="940" spans="1:13" ht="12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</row>
    <row r="941" spans="1:13" ht="12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</row>
    <row r="942" spans="1:13" ht="12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</row>
    <row r="943" spans="1:13" ht="12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</row>
    <row r="944" spans="1:13" ht="12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</row>
    <row r="945" spans="1:13" ht="12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</row>
    <row r="946" spans="1:13" ht="12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</row>
    <row r="947" spans="1:13" ht="12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</row>
    <row r="948" spans="1:13" ht="12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</row>
    <row r="949" spans="1:13" ht="12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</row>
    <row r="950" spans="1:13" ht="12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</row>
    <row r="951" spans="1:13" ht="12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</row>
    <row r="952" spans="1:13" ht="12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</row>
    <row r="953" spans="1:13" ht="12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</row>
    <row r="954" spans="1:13" ht="12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</row>
    <row r="955" spans="1:13" ht="12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</row>
    <row r="956" spans="1:13" ht="12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</row>
    <row r="957" spans="1:13" ht="12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</row>
    <row r="958" spans="1:13" ht="12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</row>
    <row r="959" spans="1:13" ht="12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</row>
    <row r="960" spans="1:13" ht="12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</row>
    <row r="961" spans="1:13" ht="12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</row>
    <row r="962" spans="1:13" ht="12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</row>
    <row r="963" spans="1:13" ht="12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</row>
    <row r="964" spans="1:13" ht="12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</row>
    <row r="965" spans="1:13" ht="12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</row>
    <row r="966" spans="1:13" ht="12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</row>
    <row r="967" spans="1:13" ht="12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</row>
    <row r="968" spans="1:13" ht="12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</row>
    <row r="969" spans="1:13" ht="12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</row>
    <row r="970" spans="1:13" ht="12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</row>
    <row r="971" spans="1:13" ht="12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</row>
    <row r="972" spans="1:13" ht="12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</row>
    <row r="973" spans="1:13" ht="12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</row>
    <row r="974" spans="1:13" ht="12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</row>
    <row r="975" spans="1:13" ht="12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</row>
    <row r="976" spans="1:13" ht="12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</row>
    <row r="977" spans="1:13" ht="12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</row>
    <row r="978" spans="1:13" ht="12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</row>
    <row r="979" spans="1:13" ht="12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</row>
    <row r="980" spans="1:13" ht="12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</row>
    <row r="981" spans="1:13" ht="12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</row>
    <row r="982" spans="1:13" ht="12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</row>
    <row r="983" spans="1:13" ht="12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</row>
    <row r="984" spans="1:13" ht="12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</row>
    <row r="985" spans="1:13" ht="12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</row>
    <row r="986" spans="1:13" ht="12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</row>
    <row r="987" spans="1:13" ht="12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</row>
    <row r="988" spans="1:13" ht="12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</row>
    <row r="989" spans="1:13" ht="12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</row>
    <row r="990" spans="1:13" ht="12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</row>
    <row r="991" spans="1:13" ht="12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</row>
    <row r="992" spans="1:13" ht="12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</row>
    <row r="993" spans="1:13" ht="12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</row>
    <row r="994" spans="1:13" ht="12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</row>
    <row r="995" spans="1:13" ht="12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</row>
    <row r="996" spans="1:13" ht="12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</row>
    <row r="997" spans="1:13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</row>
    <row r="998" spans="1:13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</row>
    <row r="999" spans="1:13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</row>
    <row r="1000" spans="1:13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</row>
  </sheetData>
  <mergeCells count="9">
    <mergeCell ref="A6:C6"/>
    <mergeCell ref="D4:E4"/>
    <mergeCell ref="F4:G4"/>
    <mergeCell ref="H4:I4"/>
    <mergeCell ref="J4:K4"/>
    <mergeCell ref="L4:M4"/>
    <mergeCell ref="A3:C5"/>
    <mergeCell ref="D3:M3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2025-07-14T07:23:20Z</dcterms:created>
  <dcterms:modified xsi:type="dcterms:W3CDTF">2025-07-14T07:23:41Z</dcterms:modified>
</cp:coreProperties>
</file>