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9475C8B-6121-40DD-9436-B45B6983FCEE}" xr6:coauthVersionLast="47" xr6:coauthVersionMax="47" xr10:uidLastSave="{00000000-0000-0000-0000-000000000000}"/>
  <bookViews>
    <workbookView xWindow="28680" yWindow="-120" windowWidth="29040" windowHeight="15720" xr2:uid="{BE6AD5FB-7BC2-4B72-BD00-E8F5064EA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F25" i="1"/>
  <c r="D25" i="1"/>
  <c r="H24" i="1"/>
  <c r="G24" i="1"/>
  <c r="F24" i="1"/>
  <c r="H23" i="1"/>
  <c r="F23" i="1"/>
  <c r="G22" i="1"/>
  <c r="F22" i="1"/>
  <c r="H21" i="1"/>
  <c r="F21" i="1"/>
  <c r="H20" i="1"/>
  <c r="G20" i="1"/>
  <c r="F20" i="1"/>
  <c r="E20" i="1"/>
  <c r="D20" i="1"/>
  <c r="I19" i="1"/>
  <c r="H19" i="1"/>
  <c r="F19" i="1"/>
  <c r="H18" i="1"/>
  <c r="G18" i="1"/>
  <c r="F18" i="1"/>
  <c r="D18" i="1"/>
  <c r="C18" i="1"/>
  <c r="I17" i="1"/>
  <c r="G17" i="1"/>
  <c r="F17" i="1"/>
  <c r="D17" i="1"/>
  <c r="I16" i="1"/>
  <c r="H16" i="1"/>
  <c r="G16" i="1"/>
  <c r="F16" i="1"/>
  <c r="D16" i="1"/>
  <c r="C16" i="1"/>
  <c r="I15" i="1"/>
  <c r="H15" i="1"/>
  <c r="G15" i="1"/>
  <c r="F15" i="1"/>
  <c r="D15" i="1"/>
  <c r="C15" i="1"/>
  <c r="H14" i="1"/>
  <c r="G14" i="1"/>
  <c r="F14" i="1"/>
  <c r="H13" i="1"/>
  <c r="G13" i="1"/>
  <c r="F13" i="1"/>
  <c r="D13" i="1"/>
  <c r="C13" i="1"/>
  <c r="H12" i="1"/>
  <c r="G12" i="1"/>
  <c r="F12" i="1"/>
  <c r="D12" i="1"/>
  <c r="H11" i="1"/>
  <c r="G11" i="1"/>
  <c r="F11" i="1"/>
  <c r="D11" i="1"/>
  <c r="C11" i="1"/>
  <c r="H10" i="1"/>
  <c r="G10" i="1"/>
  <c r="F10" i="1"/>
  <c r="D10" i="1"/>
  <c r="C10" i="1"/>
  <c r="G9" i="1"/>
  <c r="F9" i="1"/>
  <c r="E9" i="1"/>
  <c r="D9" i="1"/>
  <c r="C9" i="1"/>
  <c r="H8" i="1"/>
  <c r="G8" i="1"/>
  <c r="F8" i="1"/>
  <c r="D8" i="1"/>
  <c r="C8" i="1"/>
  <c r="G7" i="1"/>
  <c r="F7" i="1"/>
  <c r="C7" i="1"/>
  <c r="H6" i="1"/>
  <c r="G6" i="1"/>
  <c r="F6" i="1"/>
  <c r="E6" i="1"/>
  <c r="D6" i="1"/>
  <c r="C6" i="1"/>
  <c r="D26" i="1" l="1"/>
  <c r="E26" i="1"/>
  <c r="F26" i="1"/>
  <c r="G26" i="1"/>
  <c r="H26" i="1"/>
  <c r="I26" i="1"/>
  <c r="C26" i="1"/>
</calcChain>
</file>

<file path=xl/sharedStrings.xml><?xml version="1.0" encoding="utf-8"?>
<sst xmlns="http://schemas.openxmlformats.org/spreadsheetml/2006/main" count="34" uniqueCount="34">
  <si>
    <t>Tabel 5.2.13</t>
  </si>
  <si>
    <t>Mangga</t>
  </si>
  <si>
    <t>Durian</t>
  </si>
  <si>
    <t>Jeruk Besar</t>
  </si>
  <si>
    <t>Pisang</t>
  </si>
  <si>
    <t>Pepaya</t>
  </si>
  <si>
    <t>Salak</t>
  </si>
  <si>
    <t>Jeruk Siam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</si>
  <si>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</si>
  <si>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</si>
  <si>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</si>
  <si>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</si>
  <si>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</si>
  <si>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</si>
  <si>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</si>
  <si>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</si>
  <si>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</si>
  <si>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</si>
  <si>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</si>
  <si>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</si>
  <si>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</si>
  <si>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</si>
  <si>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</si>
  <si>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</si>
  <si>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</si>
  <si>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</si>
  <si>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</si>
  <si>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</si>
  <si>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</si>
  <si>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</si>
  <si>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</si>
  <si>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</si>
  <si>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</si>
  <si>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Buah-buahan Menurut Kecamatan dan Jenis Tanaman (ton),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</si>
</sst>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2" fillId="0" borderId="4" xfId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6" fillId="0" borderId="5" xfId="1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4" fontId="6" fillId="0" borderId="5" xfId="1" applyNumberFormat="1" applyFont="1" applyBorder="1"/>
    <xf numFmtId="4" fontId="4" fillId="0" borderId="1" xfId="1" applyNumberFormat="1" applyFont="1" applyBorder="1" applyAlignment="1">
      <alignment horizontal="right" vertical="center"/>
    </xf>
    <xf numFmtId="0" fontId="2" fillId="0" borderId="2" xfId="1" applyFont="1" applyBorder="1" applyAlignment="1">
      <alignment horizontal="center"/>
    </xf>
    <xf numFmtId="4" fontId="2" fillId="0" borderId="5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F0BFEA83-2B0D-4889-83BA-0CACD5493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C7FB-E3F0-47C0-8584-1C1138E4E297}">
  <dimension ref="A1:I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7" width="10.77734375" style="3" customWidth="1"/>
    <col min="8" max="8" width="11.5546875" style="3" customWidth="1"/>
    <col min="9" max="9" width="8.77734375" style="3" customWidth="1"/>
    <col min="10" max="16384" width="14.44140625" style="3"/>
  </cols>
  <sheetData>
    <row r="1" spans="1:9" x14ac:dyDescent="0.3">
      <c r="A1" s="1" t="s">
        <v>0</v>
      </c>
      <c r="B1" s="1"/>
      <c r="C1" s="2" t="s">
        <v>33</v>
      </c>
      <c r="D1" s="1"/>
      <c r="E1" s="1"/>
      <c r="F1" s="1"/>
      <c r="G1" s="1"/>
      <c r="I1" s="1"/>
    </row>
    <row r="2" spans="1:9" x14ac:dyDescent="0.3">
      <c r="A2" s="4"/>
      <c r="B2" s="4"/>
      <c r="C2" s="1"/>
      <c r="D2" s="1"/>
      <c r="E2" s="1"/>
      <c r="F2" s="1"/>
      <c r="G2" s="1"/>
      <c r="H2" s="1"/>
      <c r="I2" s="1"/>
    </row>
    <row r="3" spans="1:9" ht="30" customHeight="1" x14ac:dyDescent="0.3">
      <c r="A3" s="5"/>
      <c r="B3" s="5"/>
      <c r="C3" s="6" t="s">
        <v>1</v>
      </c>
      <c r="D3" s="6" t="s">
        <v>2</v>
      </c>
      <c r="E3" s="7" t="s">
        <v>3</v>
      </c>
      <c r="F3" s="6" t="s">
        <v>4</v>
      </c>
      <c r="G3" s="6" t="s">
        <v>5</v>
      </c>
      <c r="H3" s="6" t="s">
        <v>6</v>
      </c>
      <c r="I3" s="7" t="s">
        <v>7</v>
      </c>
    </row>
    <row r="4" spans="1:9" x14ac:dyDescent="0.3">
      <c r="A4" s="8" t="s">
        <v>8</v>
      </c>
      <c r="B4" s="9"/>
      <c r="C4" s="10">
        <v>2021</v>
      </c>
      <c r="D4" s="10">
        <v>2021</v>
      </c>
      <c r="E4" s="10">
        <v>2021</v>
      </c>
      <c r="F4" s="10">
        <v>2021</v>
      </c>
      <c r="G4" s="10">
        <v>2021</v>
      </c>
      <c r="H4" s="10">
        <v>2021</v>
      </c>
      <c r="I4" s="10">
        <v>2021</v>
      </c>
    </row>
    <row r="5" spans="1:9" x14ac:dyDescent="0.3">
      <c r="A5" s="11">
        <v>1</v>
      </c>
      <c r="B5" s="9"/>
      <c r="C5" s="12">
        <v>4</v>
      </c>
      <c r="D5" s="12">
        <v>7</v>
      </c>
      <c r="E5" s="12">
        <v>10</v>
      </c>
      <c r="F5" s="12">
        <v>13</v>
      </c>
      <c r="G5" s="12">
        <v>16</v>
      </c>
      <c r="H5" s="12">
        <v>19</v>
      </c>
      <c r="I5" s="13">
        <v>22</v>
      </c>
    </row>
    <row r="6" spans="1:9" x14ac:dyDescent="0.3">
      <c r="A6" s="14">
        <v>1</v>
      </c>
      <c r="B6" s="15" t="s">
        <v>9</v>
      </c>
      <c r="C6" s="17">
        <f>13152/10</f>
        <v>1315.2</v>
      </c>
      <c r="D6" s="17">
        <f>15048/10</f>
        <v>1504.8</v>
      </c>
      <c r="E6" s="16">
        <f>23520/10</f>
        <v>2352</v>
      </c>
      <c r="F6" s="17">
        <f>54640/10</f>
        <v>5464</v>
      </c>
      <c r="G6" s="17">
        <f>13999/10</f>
        <v>1399.9</v>
      </c>
      <c r="H6" s="17">
        <f>3124/10</f>
        <v>312.39999999999998</v>
      </c>
      <c r="I6" s="17">
        <v>0</v>
      </c>
    </row>
    <row r="7" spans="1:9" x14ac:dyDescent="0.3">
      <c r="A7" s="14">
        <v>2</v>
      </c>
      <c r="B7" s="15" t="s">
        <v>10</v>
      </c>
      <c r="C7" s="17">
        <f>1959/10</f>
        <v>195.9</v>
      </c>
      <c r="D7" s="17">
        <v>0</v>
      </c>
      <c r="E7" s="16">
        <v>0</v>
      </c>
      <c r="F7" s="17">
        <f>2878/10</f>
        <v>287.8</v>
      </c>
      <c r="G7" s="17">
        <f>579/10</f>
        <v>57.9</v>
      </c>
      <c r="H7" s="17">
        <v>0</v>
      </c>
      <c r="I7" s="17">
        <v>0</v>
      </c>
    </row>
    <row r="8" spans="1:9" x14ac:dyDescent="0.3">
      <c r="A8" s="14">
        <v>3</v>
      </c>
      <c r="B8" s="15" t="s">
        <v>11</v>
      </c>
      <c r="C8" s="17">
        <f>420/10</f>
        <v>42</v>
      </c>
      <c r="D8" s="17">
        <f>1676/10</f>
        <v>167.6</v>
      </c>
      <c r="E8" s="16">
        <v>0</v>
      </c>
      <c r="F8" s="17">
        <f>16804/10</f>
        <v>1680.4</v>
      </c>
      <c r="G8" s="17">
        <f>2296/10</f>
        <v>229.6</v>
      </c>
      <c r="H8" s="17">
        <f>845/10</f>
        <v>84.5</v>
      </c>
      <c r="I8" s="17">
        <v>0</v>
      </c>
    </row>
    <row r="9" spans="1:9" x14ac:dyDescent="0.3">
      <c r="A9" s="14">
        <v>4</v>
      </c>
      <c r="B9" s="15" t="s">
        <v>12</v>
      </c>
      <c r="C9" s="17">
        <f>6957/10</f>
        <v>695.7</v>
      </c>
      <c r="D9" s="17">
        <f>23096/10</f>
        <v>2309.6</v>
      </c>
      <c r="E9" s="16">
        <f>353/10</f>
        <v>35.299999999999997</v>
      </c>
      <c r="F9" s="17">
        <f>8763/10</f>
        <v>876.3</v>
      </c>
      <c r="G9" s="17">
        <f>23548/10</f>
        <v>2354.8000000000002</v>
      </c>
      <c r="H9" s="17">
        <v>0</v>
      </c>
      <c r="I9" s="17">
        <v>0</v>
      </c>
    </row>
    <row r="10" spans="1:9" x14ac:dyDescent="0.3">
      <c r="A10" s="14">
        <v>5</v>
      </c>
      <c r="B10" s="15" t="s">
        <v>13</v>
      </c>
      <c r="C10" s="17">
        <f>16/10</f>
        <v>1.6</v>
      </c>
      <c r="D10" s="17">
        <f>8/10</f>
        <v>0.8</v>
      </c>
      <c r="E10" s="16">
        <v>0</v>
      </c>
      <c r="F10" s="17">
        <f>5142/10</f>
        <v>514.20000000000005</v>
      </c>
      <c r="G10" s="17">
        <f>1471/10</f>
        <v>147.1</v>
      </c>
      <c r="H10" s="17">
        <f>343/10</f>
        <v>34.299999999999997</v>
      </c>
      <c r="I10" s="17">
        <v>0</v>
      </c>
    </row>
    <row r="11" spans="1:9" x14ac:dyDescent="0.3">
      <c r="A11" s="14">
        <v>6</v>
      </c>
      <c r="B11" s="15" t="s">
        <v>14</v>
      </c>
      <c r="C11" s="17">
        <f>20/10</f>
        <v>2</v>
      </c>
      <c r="D11" s="17">
        <f>190/10</f>
        <v>19</v>
      </c>
      <c r="E11" s="16">
        <v>0</v>
      </c>
      <c r="F11" s="17">
        <f>465/10</f>
        <v>46.5</v>
      </c>
      <c r="G11" s="17">
        <f>139/10</f>
        <v>13.9</v>
      </c>
      <c r="H11" s="17">
        <f>86200/10</f>
        <v>8620</v>
      </c>
      <c r="I11" s="17">
        <v>0</v>
      </c>
    </row>
    <row r="12" spans="1:9" x14ac:dyDescent="0.3">
      <c r="A12" s="14">
        <v>7</v>
      </c>
      <c r="B12" s="15" t="s">
        <v>15</v>
      </c>
      <c r="C12" s="17">
        <v>0</v>
      </c>
      <c r="D12" s="17">
        <f>333/10</f>
        <v>33.299999999999997</v>
      </c>
      <c r="E12" s="16">
        <v>0</v>
      </c>
      <c r="F12" s="17">
        <f>46712/10</f>
        <v>4671.2</v>
      </c>
      <c r="G12" s="17">
        <f>1125/10</f>
        <v>112.5</v>
      </c>
      <c r="H12" s="17">
        <f>2143/10</f>
        <v>214.3</v>
      </c>
      <c r="I12" s="17">
        <v>0</v>
      </c>
    </row>
    <row r="13" spans="1:9" x14ac:dyDescent="0.3">
      <c r="A13" s="14">
        <v>8</v>
      </c>
      <c r="B13" s="15" t="s">
        <v>16</v>
      </c>
      <c r="C13" s="17">
        <f>859/10</f>
        <v>85.9</v>
      </c>
      <c r="D13" s="17">
        <f>800/10</f>
        <v>80</v>
      </c>
      <c r="E13" s="16">
        <v>0</v>
      </c>
      <c r="F13" s="17">
        <f>11449/10</f>
        <v>1144.9000000000001</v>
      </c>
      <c r="G13" s="17">
        <f>760/10</f>
        <v>76</v>
      </c>
      <c r="H13" s="17">
        <f>48788/10</f>
        <v>4878.8</v>
      </c>
      <c r="I13" s="17">
        <v>0</v>
      </c>
    </row>
    <row r="14" spans="1:9" x14ac:dyDescent="0.3">
      <c r="A14" s="14">
        <v>9</v>
      </c>
      <c r="B14" s="15" t="s">
        <v>17</v>
      </c>
      <c r="C14" s="17">
        <v>0</v>
      </c>
      <c r="D14" s="17">
        <v>0</v>
      </c>
      <c r="E14" s="16">
        <v>0</v>
      </c>
      <c r="F14" s="17">
        <f>2225/10</f>
        <v>222.5</v>
      </c>
      <c r="G14" s="17">
        <f>284/10</f>
        <v>28.4</v>
      </c>
      <c r="H14" s="17">
        <f>1101225/10</f>
        <v>110122.5</v>
      </c>
      <c r="I14" s="17">
        <v>0</v>
      </c>
    </row>
    <row r="15" spans="1:9" x14ac:dyDescent="0.3">
      <c r="A15" s="14">
        <v>10</v>
      </c>
      <c r="B15" s="15" t="s">
        <v>18</v>
      </c>
      <c r="C15" s="17">
        <f>1318/10</f>
        <v>131.80000000000001</v>
      </c>
      <c r="D15" s="17">
        <f>25346/10</f>
        <v>2534.6</v>
      </c>
      <c r="E15" s="16">
        <v>0</v>
      </c>
      <c r="F15" s="17">
        <f>23757/10</f>
        <v>2375.6999999999998</v>
      </c>
      <c r="G15" s="17">
        <f>3176/10</f>
        <v>317.60000000000002</v>
      </c>
      <c r="H15" s="17">
        <f>1698388/10</f>
        <v>169838.8</v>
      </c>
      <c r="I15" s="17">
        <f>976/10</f>
        <v>97.6</v>
      </c>
    </row>
    <row r="16" spans="1:9" x14ac:dyDescent="0.3">
      <c r="A16" s="14">
        <v>11</v>
      </c>
      <c r="B16" s="15" t="s">
        <v>19</v>
      </c>
      <c r="C16" s="17">
        <f>140/10</f>
        <v>14</v>
      </c>
      <c r="D16" s="17">
        <f>456/10</f>
        <v>45.6</v>
      </c>
      <c r="E16" s="16">
        <v>0</v>
      </c>
      <c r="F16" s="17">
        <f>6183/10</f>
        <v>618.29999999999995</v>
      </c>
      <c r="G16" s="17">
        <f>13828/10</f>
        <v>1382.8</v>
      </c>
      <c r="H16" s="17">
        <f>16188/10</f>
        <v>1618.8</v>
      </c>
      <c r="I16" s="17">
        <f>15/10</f>
        <v>1.5</v>
      </c>
    </row>
    <row r="17" spans="1:9" x14ac:dyDescent="0.3">
      <c r="A17" s="14">
        <v>12</v>
      </c>
      <c r="B17" s="15" t="s">
        <v>20</v>
      </c>
      <c r="C17" s="17">
        <v>0</v>
      </c>
      <c r="D17" s="17">
        <f>138/10</f>
        <v>13.8</v>
      </c>
      <c r="E17" s="16">
        <v>0</v>
      </c>
      <c r="F17" s="17">
        <f>484/10</f>
        <v>48.4</v>
      </c>
      <c r="G17" s="17">
        <f>155/10</f>
        <v>15.5</v>
      </c>
      <c r="H17" s="17">
        <v>0</v>
      </c>
      <c r="I17" s="17">
        <f>1296/10</f>
        <v>129.6</v>
      </c>
    </row>
    <row r="18" spans="1:9" x14ac:dyDescent="0.3">
      <c r="A18" s="14">
        <v>13</v>
      </c>
      <c r="B18" s="15" t="s">
        <v>21</v>
      </c>
      <c r="C18" s="17">
        <f>23/10</f>
        <v>2.2999999999999998</v>
      </c>
      <c r="D18" s="17">
        <f>130/10</f>
        <v>13</v>
      </c>
      <c r="E18" s="16">
        <v>0</v>
      </c>
      <c r="F18" s="17">
        <f>33420/10</f>
        <v>3342</v>
      </c>
      <c r="G18" s="17">
        <f>618/10</f>
        <v>61.8</v>
      </c>
      <c r="H18" s="17">
        <f>14500/10</f>
        <v>1450</v>
      </c>
      <c r="I18" s="17">
        <v>0</v>
      </c>
    </row>
    <row r="19" spans="1:9" x14ac:dyDescent="0.3">
      <c r="A19" s="14">
        <v>14</v>
      </c>
      <c r="B19" s="15" t="s">
        <v>22</v>
      </c>
      <c r="C19" s="17">
        <v>0</v>
      </c>
      <c r="D19" s="17">
        <v>0</v>
      </c>
      <c r="E19" s="16">
        <v>0</v>
      </c>
      <c r="F19" s="17">
        <f>2450/10</f>
        <v>245</v>
      </c>
      <c r="G19" s="17">
        <v>0</v>
      </c>
      <c r="H19" s="17">
        <f>91311/10</f>
        <v>9131.1</v>
      </c>
      <c r="I19" s="17">
        <f>134/10</f>
        <v>13.4</v>
      </c>
    </row>
    <row r="20" spans="1:9" x14ac:dyDescent="0.3">
      <c r="A20" s="14">
        <v>15</v>
      </c>
      <c r="B20" s="15" t="s">
        <v>23</v>
      </c>
      <c r="C20" s="17">
        <v>0</v>
      </c>
      <c r="D20" s="17">
        <f>120/10</f>
        <v>12</v>
      </c>
      <c r="E20" s="16">
        <f>89/10</f>
        <v>8.9</v>
      </c>
      <c r="F20" s="17">
        <f>7441/10</f>
        <v>744.1</v>
      </c>
      <c r="G20" s="17">
        <f>180/10</f>
        <v>18</v>
      </c>
      <c r="H20" s="17">
        <f>419609/10</f>
        <v>41960.9</v>
      </c>
      <c r="I20" s="17">
        <v>0</v>
      </c>
    </row>
    <row r="21" spans="1:9" x14ac:dyDescent="0.3">
      <c r="A21" s="14">
        <v>16</v>
      </c>
      <c r="B21" s="15" t="s">
        <v>24</v>
      </c>
      <c r="C21" s="17">
        <v>0</v>
      </c>
      <c r="D21" s="17">
        <v>0</v>
      </c>
      <c r="E21" s="16">
        <v>0</v>
      </c>
      <c r="F21" s="17">
        <f>16235/10</f>
        <v>1623.5</v>
      </c>
      <c r="G21" s="17">
        <v>0</v>
      </c>
      <c r="H21" s="17">
        <f>2760/10</f>
        <v>276</v>
      </c>
      <c r="I21" s="17">
        <v>0</v>
      </c>
    </row>
    <row r="22" spans="1:9" x14ac:dyDescent="0.3">
      <c r="A22" s="14">
        <v>17</v>
      </c>
      <c r="B22" s="15" t="s">
        <v>25</v>
      </c>
      <c r="C22" s="17">
        <v>0</v>
      </c>
      <c r="D22" s="17">
        <v>0</v>
      </c>
      <c r="E22" s="16">
        <v>0</v>
      </c>
      <c r="F22" s="17">
        <f>971/10</f>
        <v>97.1</v>
      </c>
      <c r="G22" s="17">
        <f>201976/10</f>
        <v>20197.599999999999</v>
      </c>
      <c r="H22" s="17">
        <v>0</v>
      </c>
      <c r="I22" s="17">
        <v>0</v>
      </c>
    </row>
    <row r="23" spans="1:9" x14ac:dyDescent="0.3">
      <c r="A23" s="14">
        <v>18</v>
      </c>
      <c r="B23" s="15" t="s">
        <v>26</v>
      </c>
      <c r="C23" s="17">
        <v>0</v>
      </c>
      <c r="D23" s="17">
        <v>0</v>
      </c>
      <c r="E23" s="16">
        <v>0</v>
      </c>
      <c r="F23" s="17">
        <f>6846/10</f>
        <v>684.6</v>
      </c>
      <c r="G23" s="17">
        <v>0</v>
      </c>
      <c r="H23" s="17">
        <f>17757/10</f>
        <v>1775.7</v>
      </c>
      <c r="I23" s="17">
        <v>0</v>
      </c>
    </row>
    <row r="24" spans="1:9" x14ac:dyDescent="0.3">
      <c r="A24" s="14">
        <v>19</v>
      </c>
      <c r="B24" s="15" t="s">
        <v>27</v>
      </c>
      <c r="C24" s="17">
        <v>0</v>
      </c>
      <c r="D24" s="17">
        <v>0</v>
      </c>
      <c r="E24" s="16">
        <v>0</v>
      </c>
      <c r="F24" s="17">
        <f>6940/10</f>
        <v>694</v>
      </c>
      <c r="G24" s="17">
        <f>319/10</f>
        <v>31.9</v>
      </c>
      <c r="H24" s="17">
        <f>98400/10</f>
        <v>9840</v>
      </c>
      <c r="I24" s="17">
        <v>0</v>
      </c>
    </row>
    <row r="25" spans="1:9" x14ac:dyDescent="0.3">
      <c r="A25" s="14">
        <v>20</v>
      </c>
      <c r="B25" s="15" t="s">
        <v>28</v>
      </c>
      <c r="C25" s="17">
        <v>0</v>
      </c>
      <c r="D25" s="17">
        <f>22/10</f>
        <v>2.2000000000000002</v>
      </c>
      <c r="E25" s="16">
        <v>0</v>
      </c>
      <c r="F25" s="17">
        <f>2335/10</f>
        <v>233.5</v>
      </c>
      <c r="G25" s="17">
        <v>0</v>
      </c>
      <c r="H25" s="17">
        <f>545/10</f>
        <v>54.5</v>
      </c>
      <c r="I25" s="17">
        <v>0</v>
      </c>
    </row>
    <row r="26" spans="1:9" x14ac:dyDescent="0.3">
      <c r="A26" s="18" t="s">
        <v>29</v>
      </c>
      <c r="B26" s="9"/>
      <c r="C26" s="19">
        <f t="shared" ref="C26:I26" si="0">SUM(C6:C25)</f>
        <v>2486.4000000000005</v>
      </c>
      <c r="D26" s="19">
        <f t="shared" si="0"/>
        <v>6736.3000000000011</v>
      </c>
      <c r="E26" s="19">
        <f t="shared" si="0"/>
        <v>2396.2000000000003</v>
      </c>
      <c r="F26" s="19">
        <f t="shared" si="0"/>
        <v>25613.999999999996</v>
      </c>
      <c r="G26" s="19">
        <f t="shared" si="0"/>
        <v>26445.3</v>
      </c>
      <c r="H26" s="19">
        <f t="shared" si="0"/>
        <v>360212.6</v>
      </c>
      <c r="I26" s="19">
        <f t="shared" si="0"/>
        <v>242.1</v>
      </c>
    </row>
    <row r="27" spans="1:9" x14ac:dyDescent="0.3">
      <c r="A27" s="20"/>
      <c r="B27" s="20"/>
      <c r="C27" s="20"/>
      <c r="D27" s="20"/>
      <c r="E27" s="20"/>
      <c r="F27" s="20"/>
      <c r="G27" s="20"/>
      <c r="H27" s="20"/>
      <c r="I27" s="20"/>
    </row>
    <row r="28" spans="1:9" x14ac:dyDescent="0.3">
      <c r="A28" s="21" t="s">
        <v>30</v>
      </c>
      <c r="B28" s="20"/>
      <c r="C28" s="20"/>
      <c r="D28" s="20"/>
      <c r="E28" s="20"/>
      <c r="F28" s="20"/>
      <c r="G28" s="20"/>
      <c r="H28" s="20"/>
      <c r="I28" s="20"/>
    </row>
    <row r="29" spans="1:9" x14ac:dyDescent="0.3">
      <c r="A29" s="21" t="s">
        <v>31</v>
      </c>
      <c r="B29" s="20"/>
      <c r="C29" s="20"/>
      <c r="D29" s="20"/>
      <c r="E29" s="20"/>
      <c r="F29" s="20"/>
      <c r="G29" s="20"/>
      <c r="H29" s="20"/>
      <c r="I29" s="20"/>
    </row>
    <row r="30" spans="1:9" x14ac:dyDescent="0.3">
      <c r="A30" s="20"/>
      <c r="B30" s="21" t="s">
        <v>32</v>
      </c>
      <c r="C30" s="20"/>
      <c r="D30" s="20"/>
      <c r="E30" s="20"/>
      <c r="F30" s="20"/>
      <c r="G30" s="20"/>
      <c r="H30" s="20"/>
      <c r="I30" s="20"/>
    </row>
    <row r="31" spans="1:9" x14ac:dyDescent="0.3">
      <c r="A31" s="20"/>
      <c r="B31" s="21"/>
      <c r="C31" s="20"/>
      <c r="D31" s="20"/>
      <c r="E31" s="20"/>
      <c r="F31" s="20"/>
      <c r="G31" s="20"/>
      <c r="H31" s="20"/>
      <c r="I31" s="20"/>
    </row>
    <row r="32" spans="1:9" x14ac:dyDescent="0.3">
      <c r="A32" s="20"/>
      <c r="B32" s="20"/>
      <c r="C32" s="20"/>
      <c r="D32" s="20"/>
      <c r="E32" s="20"/>
      <c r="F32" s="20"/>
      <c r="G32" s="20"/>
      <c r="H32" s="20"/>
      <c r="I32" s="20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2025-07-10T01:37:46Z</dcterms:created>
  <dcterms:modified xsi:type="dcterms:W3CDTF">2025-07-10T01:38:24Z</dcterms:modified>
</cp:coreProperties>
</file>