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2AD8A69-18A0-412F-82CF-DB3087D3159B}" xr6:coauthVersionLast="47" xr6:coauthVersionMax="47" xr10:uidLastSave="{00000000-0000-0000-0000-000000000000}"/>
  <bookViews>
    <workbookView xWindow="28680" yWindow="-120" windowWidth="29040" windowHeight="15720" xr2:uid="{18A0025A-8D57-4641-907A-34156030F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F25" i="1"/>
  <c r="D25" i="1"/>
  <c r="H24" i="1"/>
  <c r="G24" i="1"/>
  <c r="F24" i="1"/>
  <c r="H23" i="1"/>
  <c r="G23" i="1"/>
  <c r="F23" i="1"/>
  <c r="G22" i="1"/>
  <c r="F22" i="1"/>
  <c r="H21" i="1"/>
  <c r="F21" i="1"/>
  <c r="I20" i="1"/>
  <c r="H20" i="1"/>
  <c r="G20" i="1"/>
  <c r="F20" i="1"/>
  <c r="E20" i="1"/>
  <c r="D20" i="1"/>
  <c r="I19" i="1"/>
  <c r="H19" i="1"/>
  <c r="F19" i="1"/>
  <c r="E19" i="1"/>
  <c r="D19" i="1"/>
  <c r="H18" i="1"/>
  <c r="G18" i="1"/>
  <c r="F18" i="1"/>
  <c r="D18" i="1"/>
  <c r="C18" i="1"/>
  <c r="I17" i="1"/>
  <c r="G17" i="1"/>
  <c r="F17" i="1"/>
  <c r="E17" i="1"/>
  <c r="D17" i="1"/>
  <c r="C17" i="1"/>
  <c r="I16" i="1"/>
  <c r="H16" i="1"/>
  <c r="G16" i="1"/>
  <c r="F16" i="1"/>
  <c r="D16" i="1"/>
  <c r="C16" i="1"/>
  <c r="I15" i="1"/>
  <c r="H15" i="1"/>
  <c r="G15" i="1"/>
  <c r="F15" i="1"/>
  <c r="E15" i="1"/>
  <c r="D15" i="1"/>
  <c r="C15" i="1"/>
  <c r="H14" i="1"/>
  <c r="G14" i="1"/>
  <c r="F14" i="1"/>
  <c r="D14" i="1"/>
  <c r="C14" i="1"/>
  <c r="H13" i="1"/>
  <c r="G13" i="1"/>
  <c r="C13" i="1"/>
  <c r="H12" i="1"/>
  <c r="G12" i="1"/>
  <c r="F12" i="1"/>
  <c r="C12" i="1"/>
  <c r="H11" i="1"/>
  <c r="G11" i="1"/>
  <c r="F11" i="1"/>
  <c r="D11" i="1"/>
  <c r="C11" i="1"/>
  <c r="I10" i="1"/>
  <c r="H10" i="1"/>
  <c r="G10" i="1"/>
  <c r="F10" i="1"/>
  <c r="D10" i="1"/>
  <c r="G9" i="1"/>
  <c r="F9" i="1"/>
  <c r="E9" i="1"/>
  <c r="D9" i="1"/>
  <c r="C9" i="1"/>
  <c r="H8" i="1"/>
  <c r="G8" i="1"/>
  <c r="F8" i="1"/>
  <c r="C8" i="1"/>
  <c r="G7" i="1"/>
  <c r="F7" i="1"/>
  <c r="D7" i="1"/>
  <c r="C7" i="1"/>
  <c r="H6" i="1"/>
  <c r="G6" i="1"/>
  <c r="F6" i="1"/>
  <c r="E6" i="1"/>
  <c r="D6" i="1"/>
  <c r="C6" i="1"/>
  <c r="H26" i="1" l="1"/>
  <c r="D26" i="1"/>
  <c r="C26" i="1"/>
  <c r="I26" i="1"/>
  <c r="E26" i="1"/>
  <c r="F26" i="1"/>
  <c r="G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<sst xmlns="http://schemas.openxmlformats.org/spreadsheetml/2006/main" count="34" uniqueCount="34">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</sst>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6" fillId="0" borderId="5" xfId="1" applyNumberFormat="1" applyFont="1" applyBorder="1"/>
    <xf numFmtId="0" fontId="2" fillId="0" borderId="2" xfId="1" applyFont="1" applyBorder="1" applyAlignment="1">
      <alignment horizontal="center"/>
    </xf>
    <xf numFmtId="4" fontId="2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275F552F-FC34-4C5C-BAF7-626E4BF227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EC72-879A-4F2C-8107-E646F6196546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8" width="10.77734375" style="3" customWidth="1"/>
    <col min="9" max="9" width="8.77734375" style="3" customWidth="1"/>
    <col min="10" max="16384" width="14.44140625" style="3"/>
  </cols>
  <sheetData>
    <row r="1" spans="1:9" x14ac:dyDescent="0.3">
      <c r="A1" s="1" t="s">
        <v>0</v>
      </c>
      <c r="B1" s="1"/>
      <c r="C1" s="2" t="s">
        <v>33</v>
      </c>
      <c r="D1" s="1"/>
      <c r="E1" s="1"/>
      <c r="F1" s="1"/>
      <c r="G1" s="1"/>
      <c r="H1" s="1"/>
      <c r="I1" s="1"/>
    </row>
    <row r="2" spans="1:9" x14ac:dyDescent="0.3">
      <c r="A2" s="4"/>
      <c r="B2" s="4"/>
      <c r="C2" s="1"/>
      <c r="D2" s="1"/>
      <c r="E2" s="1"/>
      <c r="F2" s="1"/>
      <c r="G2" s="1"/>
      <c r="H2" s="1"/>
      <c r="I2" s="1"/>
    </row>
    <row r="3" spans="1:9" ht="30" customHeight="1" x14ac:dyDescent="0.3">
      <c r="A3" s="5"/>
      <c r="B3" s="5"/>
      <c r="C3" s="6" t="s">
        <v>1</v>
      </c>
      <c r="D3" s="6" t="s">
        <v>2</v>
      </c>
      <c r="E3" s="7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1:9" x14ac:dyDescent="0.3">
      <c r="A4" s="8" t="s">
        <v>8</v>
      </c>
      <c r="B4" s="9"/>
      <c r="C4" s="10">
        <v>2020</v>
      </c>
      <c r="D4" s="10">
        <v>2020</v>
      </c>
      <c r="E4" s="10">
        <v>2020</v>
      </c>
      <c r="F4" s="10">
        <v>2020</v>
      </c>
      <c r="G4" s="10">
        <v>2020</v>
      </c>
      <c r="H4" s="10">
        <v>2020</v>
      </c>
      <c r="I4" s="10">
        <v>2020</v>
      </c>
    </row>
    <row r="5" spans="1:9" x14ac:dyDescent="0.3">
      <c r="A5" s="11">
        <v>1</v>
      </c>
      <c r="B5" s="9"/>
      <c r="C5" s="12">
        <v>3</v>
      </c>
      <c r="D5" s="12">
        <v>6</v>
      </c>
      <c r="E5" s="12">
        <v>9</v>
      </c>
      <c r="F5" s="12">
        <v>12</v>
      </c>
      <c r="G5" s="12">
        <v>15</v>
      </c>
      <c r="H5" s="12">
        <v>18</v>
      </c>
      <c r="I5" s="13">
        <v>21</v>
      </c>
    </row>
    <row r="6" spans="1:9" x14ac:dyDescent="0.3">
      <c r="A6" s="14">
        <v>1</v>
      </c>
      <c r="B6" s="15" t="s">
        <v>9</v>
      </c>
      <c r="C6" s="16">
        <f>8425/10</f>
        <v>842.5</v>
      </c>
      <c r="D6" s="16">
        <f>2750/10</f>
        <v>275</v>
      </c>
      <c r="E6" s="16">
        <f>5880/10</f>
        <v>588</v>
      </c>
      <c r="F6" s="16">
        <f>16852/10</f>
        <v>1685.2</v>
      </c>
      <c r="G6" s="16">
        <f>2563/10</f>
        <v>256.3</v>
      </c>
      <c r="H6" s="16">
        <f>1581/10</f>
        <v>158.1</v>
      </c>
      <c r="I6" s="16">
        <v>0</v>
      </c>
    </row>
    <row r="7" spans="1:9" x14ac:dyDescent="0.3">
      <c r="A7" s="14">
        <v>2</v>
      </c>
      <c r="B7" s="15" t="s">
        <v>10</v>
      </c>
      <c r="C7" s="16">
        <f>713/10</f>
        <v>71.3</v>
      </c>
      <c r="D7" s="16">
        <f>662/10</f>
        <v>66.2</v>
      </c>
      <c r="E7" s="16">
        <v>0</v>
      </c>
      <c r="F7" s="16">
        <f>6788/10</f>
        <v>678.8</v>
      </c>
      <c r="G7" s="16">
        <f>513/10</f>
        <v>51.3</v>
      </c>
      <c r="H7" s="16">
        <v>0</v>
      </c>
      <c r="I7" s="16">
        <v>0</v>
      </c>
    </row>
    <row r="8" spans="1:9" x14ac:dyDescent="0.3">
      <c r="A8" s="14">
        <v>3</v>
      </c>
      <c r="B8" s="15" t="s">
        <v>11</v>
      </c>
      <c r="C8" s="16">
        <f>9000/10</f>
        <v>900</v>
      </c>
      <c r="D8" s="16">
        <v>0</v>
      </c>
      <c r="E8" s="16">
        <v>0</v>
      </c>
      <c r="F8" s="16">
        <f>59552/10</f>
        <v>5955.2</v>
      </c>
      <c r="G8" s="16">
        <f>1600/10</f>
        <v>160</v>
      </c>
      <c r="H8" s="16">
        <f>629/10</f>
        <v>62.9</v>
      </c>
      <c r="I8" s="16">
        <v>0</v>
      </c>
    </row>
    <row r="9" spans="1:9" x14ac:dyDescent="0.3">
      <c r="A9" s="14">
        <v>4</v>
      </c>
      <c r="B9" s="15" t="s">
        <v>12</v>
      </c>
      <c r="C9" s="16">
        <f>2380/10</f>
        <v>238</v>
      </c>
      <c r="D9" s="16">
        <f>91/10</f>
        <v>9.1</v>
      </c>
      <c r="E9" s="16">
        <f>905/10</f>
        <v>90.5</v>
      </c>
      <c r="F9" s="16">
        <f>10188/10</f>
        <v>1018.8</v>
      </c>
      <c r="G9" s="16">
        <f>15715/10</f>
        <v>1571.5</v>
      </c>
      <c r="H9" s="16">
        <v>0</v>
      </c>
      <c r="I9" s="16">
        <v>0</v>
      </c>
    </row>
    <row r="10" spans="1:9" x14ac:dyDescent="0.3">
      <c r="A10" s="14">
        <v>5</v>
      </c>
      <c r="B10" s="15" t="s">
        <v>13</v>
      </c>
      <c r="C10" s="16">
        <v>0</v>
      </c>
      <c r="D10" s="16">
        <f>17/10</f>
        <v>1.7</v>
      </c>
      <c r="E10" s="16">
        <v>0</v>
      </c>
      <c r="F10" s="16">
        <f>1230/10</f>
        <v>123</v>
      </c>
      <c r="G10" s="16">
        <f>1022/10</f>
        <v>102.2</v>
      </c>
      <c r="H10" s="16">
        <f>99/10</f>
        <v>9.9</v>
      </c>
      <c r="I10" s="16">
        <f>84/10</f>
        <v>8.4</v>
      </c>
    </row>
    <row r="11" spans="1:9" x14ac:dyDescent="0.3">
      <c r="A11" s="14">
        <v>6</v>
      </c>
      <c r="B11" s="15" t="s">
        <v>14</v>
      </c>
      <c r="C11" s="16">
        <f>119/10</f>
        <v>11.9</v>
      </c>
      <c r="D11" s="16">
        <f>280/10</f>
        <v>28</v>
      </c>
      <c r="E11" s="16">
        <v>0</v>
      </c>
      <c r="F11" s="16">
        <f>483/10</f>
        <v>48.3</v>
      </c>
      <c r="G11" s="16">
        <f>231/10</f>
        <v>23.1</v>
      </c>
      <c r="H11" s="16">
        <f>28805/10</f>
        <v>2880.5</v>
      </c>
      <c r="I11" s="16">
        <v>0</v>
      </c>
    </row>
    <row r="12" spans="1:9" x14ac:dyDescent="0.3">
      <c r="A12" s="14">
        <v>7</v>
      </c>
      <c r="B12" s="15" t="s">
        <v>15</v>
      </c>
      <c r="C12" s="16">
        <f>3836/10</f>
        <v>383.6</v>
      </c>
      <c r="D12" s="16">
        <v>0</v>
      </c>
      <c r="E12" s="16">
        <v>0</v>
      </c>
      <c r="F12" s="16">
        <f>62655/10</f>
        <v>6265.5</v>
      </c>
      <c r="G12" s="16">
        <f>2567/10</f>
        <v>256.7</v>
      </c>
      <c r="H12" s="16">
        <f>35579/10</f>
        <v>3557.9</v>
      </c>
      <c r="I12" s="16">
        <v>0</v>
      </c>
    </row>
    <row r="13" spans="1:9" x14ac:dyDescent="0.3">
      <c r="A13" s="14">
        <v>8</v>
      </c>
      <c r="B13" s="15" t="s">
        <v>16</v>
      </c>
      <c r="C13" s="16">
        <f>1415/10</f>
        <v>141.5</v>
      </c>
      <c r="D13" s="16">
        <v>1993.8</v>
      </c>
      <c r="E13" s="16">
        <v>0</v>
      </c>
      <c r="F13" s="16">
        <v>1066.4000000000001</v>
      </c>
      <c r="G13" s="16">
        <f>1592/10</f>
        <v>159.19999999999999</v>
      </c>
      <c r="H13" s="16">
        <f>133946/10</f>
        <v>13394.6</v>
      </c>
      <c r="I13" s="16">
        <v>0</v>
      </c>
    </row>
    <row r="14" spans="1:9" x14ac:dyDescent="0.3">
      <c r="A14" s="14">
        <v>9</v>
      </c>
      <c r="B14" s="15" t="s">
        <v>17</v>
      </c>
      <c r="C14" s="16">
        <f>175/10</f>
        <v>17.5</v>
      </c>
      <c r="D14" s="16">
        <f>44220/10</f>
        <v>4422</v>
      </c>
      <c r="E14" s="16">
        <v>0</v>
      </c>
      <c r="F14" s="16">
        <f>2332/10</f>
        <v>233.2</v>
      </c>
      <c r="G14" s="16">
        <f>397/10</f>
        <v>39.700000000000003</v>
      </c>
      <c r="H14" s="16">
        <f>1419862/10</f>
        <v>141986.20000000001</v>
      </c>
      <c r="I14" s="16">
        <v>0</v>
      </c>
    </row>
    <row r="15" spans="1:9" x14ac:dyDescent="0.3">
      <c r="A15" s="14">
        <v>10</v>
      </c>
      <c r="B15" s="15" t="s">
        <v>18</v>
      </c>
      <c r="C15" s="16">
        <f>4299/10</f>
        <v>429.9</v>
      </c>
      <c r="D15" s="16">
        <f>44767/10</f>
        <v>4476.7</v>
      </c>
      <c r="E15" s="16">
        <f>216/10</f>
        <v>21.6</v>
      </c>
      <c r="F15" s="16">
        <f>17858/10</f>
        <v>1785.8</v>
      </c>
      <c r="G15" s="16">
        <f>3038/10</f>
        <v>303.8</v>
      </c>
      <c r="H15" s="16">
        <f>958680/10</f>
        <v>95868</v>
      </c>
      <c r="I15" s="16">
        <f>1299/10</f>
        <v>129.9</v>
      </c>
    </row>
    <row r="16" spans="1:9" x14ac:dyDescent="0.3">
      <c r="A16" s="14">
        <v>11</v>
      </c>
      <c r="B16" s="15" t="s">
        <v>19</v>
      </c>
      <c r="C16" s="16">
        <f>113/10</f>
        <v>11.3</v>
      </c>
      <c r="D16" s="16">
        <f>625/10</f>
        <v>62.5</v>
      </c>
      <c r="E16" s="16">
        <v>0</v>
      </c>
      <c r="F16" s="16">
        <f>4763/10</f>
        <v>476.3</v>
      </c>
      <c r="G16" s="16">
        <f>11921/10</f>
        <v>1192.0999999999999</v>
      </c>
      <c r="H16" s="16">
        <f>38012/10</f>
        <v>3801.2</v>
      </c>
      <c r="I16" s="16">
        <f>15/10</f>
        <v>1.5</v>
      </c>
    </row>
    <row r="17" spans="1:9" x14ac:dyDescent="0.3">
      <c r="A17" s="14">
        <v>12</v>
      </c>
      <c r="B17" s="15" t="s">
        <v>20</v>
      </c>
      <c r="C17" s="16">
        <f>314/10</f>
        <v>31.4</v>
      </c>
      <c r="D17" s="16">
        <f>967/10</f>
        <v>96.7</v>
      </c>
      <c r="E17" s="16">
        <f>1/10</f>
        <v>0.1</v>
      </c>
      <c r="F17" s="16">
        <f>365/10</f>
        <v>36.5</v>
      </c>
      <c r="G17" s="16">
        <f>549/10</f>
        <v>54.9</v>
      </c>
      <c r="H17" s="16">
        <v>0</v>
      </c>
      <c r="I17" s="16">
        <f>445/10</f>
        <v>44.5</v>
      </c>
    </row>
    <row r="18" spans="1:9" x14ac:dyDescent="0.3">
      <c r="A18" s="14">
        <v>13</v>
      </c>
      <c r="B18" s="15" t="s">
        <v>21</v>
      </c>
      <c r="C18" s="16">
        <f>100/10</f>
        <v>10</v>
      </c>
      <c r="D18" s="16">
        <f>2304/10</f>
        <v>230.4</v>
      </c>
      <c r="E18" s="16">
        <v>0</v>
      </c>
      <c r="F18" s="16">
        <f>5300/10</f>
        <v>530</v>
      </c>
      <c r="G18" s="16">
        <f>464/10</f>
        <v>46.4</v>
      </c>
      <c r="H18" s="16">
        <f>2400/10</f>
        <v>240</v>
      </c>
      <c r="I18" s="16">
        <v>0</v>
      </c>
    </row>
    <row r="19" spans="1:9" x14ac:dyDescent="0.3">
      <c r="A19" s="14">
        <v>14</v>
      </c>
      <c r="B19" s="15" t="s">
        <v>22</v>
      </c>
      <c r="C19" s="16">
        <v>0</v>
      </c>
      <c r="D19" s="16">
        <f>8/10</f>
        <v>0.8</v>
      </c>
      <c r="E19" s="16">
        <f>42/10</f>
        <v>4.2</v>
      </c>
      <c r="F19" s="16">
        <f>14912/10</f>
        <v>1491.2</v>
      </c>
      <c r="G19" s="16">
        <v>0</v>
      </c>
      <c r="H19" s="16">
        <f>188558/10</f>
        <v>18855.8</v>
      </c>
      <c r="I19" s="16">
        <f>1025/10</f>
        <v>102.5</v>
      </c>
    </row>
    <row r="20" spans="1:9" x14ac:dyDescent="0.3">
      <c r="A20" s="14">
        <v>15</v>
      </c>
      <c r="B20" s="15" t="s">
        <v>23</v>
      </c>
      <c r="C20" s="16">
        <v>0</v>
      </c>
      <c r="D20" s="16">
        <f>199/10</f>
        <v>19.899999999999999</v>
      </c>
      <c r="E20" s="16">
        <f>171/10</f>
        <v>17.100000000000001</v>
      </c>
      <c r="F20" s="16">
        <f>4803/10</f>
        <v>480.3</v>
      </c>
      <c r="G20" s="16">
        <f>359/10</f>
        <v>35.9</v>
      </c>
      <c r="H20" s="16">
        <f>783809/10</f>
        <v>78380.899999999994</v>
      </c>
      <c r="I20" s="16">
        <f>47/10</f>
        <v>4.7</v>
      </c>
    </row>
    <row r="21" spans="1:9" x14ac:dyDescent="0.3">
      <c r="A21" s="14">
        <v>16</v>
      </c>
      <c r="B21" s="15" t="s">
        <v>24</v>
      </c>
      <c r="C21" s="16">
        <v>0</v>
      </c>
      <c r="D21" s="16">
        <v>0</v>
      </c>
      <c r="E21" s="16">
        <v>0</v>
      </c>
      <c r="F21" s="16">
        <f>17114/10</f>
        <v>1711.4</v>
      </c>
      <c r="G21" s="16">
        <v>0</v>
      </c>
      <c r="H21" s="16">
        <f>3540/10</f>
        <v>354</v>
      </c>
      <c r="I21" s="16">
        <v>0</v>
      </c>
    </row>
    <row r="22" spans="1:9" x14ac:dyDescent="0.3">
      <c r="A22" s="14">
        <v>17</v>
      </c>
      <c r="B22" s="15" t="s">
        <v>25</v>
      </c>
      <c r="C22" s="16">
        <v>0</v>
      </c>
      <c r="D22" s="16">
        <v>0</v>
      </c>
      <c r="E22" s="16">
        <v>0</v>
      </c>
      <c r="F22" s="16">
        <f>69/10</f>
        <v>6.9</v>
      </c>
      <c r="G22" s="16">
        <f>257840/10</f>
        <v>25784</v>
      </c>
      <c r="H22" s="16">
        <v>0</v>
      </c>
      <c r="I22" s="16">
        <v>0</v>
      </c>
    </row>
    <row r="23" spans="1:9" x14ac:dyDescent="0.3">
      <c r="A23" s="14">
        <v>18</v>
      </c>
      <c r="B23" s="15" t="s">
        <v>26</v>
      </c>
      <c r="C23" s="16">
        <v>0</v>
      </c>
      <c r="D23" s="16">
        <v>0</v>
      </c>
      <c r="E23" s="16">
        <v>0</v>
      </c>
      <c r="F23" s="16">
        <f>1831/10</f>
        <v>183.1</v>
      </c>
      <c r="G23" s="16">
        <f>148/10</f>
        <v>14.8</v>
      </c>
      <c r="H23" s="16">
        <f>23648/10</f>
        <v>2364.8000000000002</v>
      </c>
      <c r="I23" s="16">
        <v>0</v>
      </c>
    </row>
    <row r="24" spans="1:9" x14ac:dyDescent="0.3">
      <c r="A24" s="14">
        <v>19</v>
      </c>
      <c r="B24" s="15" t="s">
        <v>27</v>
      </c>
      <c r="C24" s="16">
        <v>0</v>
      </c>
      <c r="D24" s="16">
        <v>0</v>
      </c>
      <c r="E24" s="16">
        <v>0</v>
      </c>
      <c r="F24" s="16">
        <f>8960/10</f>
        <v>896</v>
      </c>
      <c r="G24" s="16">
        <f>116/10</f>
        <v>11.6</v>
      </c>
      <c r="H24" s="16">
        <f>144200/10</f>
        <v>14420</v>
      </c>
      <c r="I24" s="16">
        <v>0</v>
      </c>
    </row>
    <row r="25" spans="1:9" x14ac:dyDescent="0.3">
      <c r="A25" s="14">
        <v>20</v>
      </c>
      <c r="B25" s="15" t="s">
        <v>28</v>
      </c>
      <c r="C25" s="16">
        <v>0</v>
      </c>
      <c r="D25" s="16">
        <f>12/10</f>
        <v>1.2</v>
      </c>
      <c r="E25" s="16">
        <v>0</v>
      </c>
      <c r="F25" s="16">
        <f>2124/10</f>
        <v>212.4</v>
      </c>
      <c r="G25" s="16">
        <v>0</v>
      </c>
      <c r="H25" s="16">
        <f>90/10</f>
        <v>9</v>
      </c>
      <c r="I25" s="16">
        <v>0</v>
      </c>
    </row>
    <row r="26" spans="1:9" x14ac:dyDescent="0.3">
      <c r="A26" s="17" t="s">
        <v>29</v>
      </c>
      <c r="B26" s="9"/>
      <c r="C26" s="18">
        <f t="shared" ref="C26:I26" si="0">SUM(C6:C25)</f>
        <v>3088.9000000000005</v>
      </c>
      <c r="D26" s="18">
        <f t="shared" si="0"/>
        <v>11684</v>
      </c>
      <c r="E26" s="18">
        <f t="shared" si="0"/>
        <v>721.50000000000011</v>
      </c>
      <c r="F26" s="18">
        <f t="shared" si="0"/>
        <v>24884.300000000003</v>
      </c>
      <c r="G26" s="18">
        <f t="shared" si="0"/>
        <v>30063.499999999996</v>
      </c>
      <c r="H26" s="18">
        <f t="shared" si="0"/>
        <v>376343.8</v>
      </c>
      <c r="I26" s="18">
        <f t="shared" si="0"/>
        <v>291.5</v>
      </c>
    </row>
    <row r="27" spans="1:9" x14ac:dyDescent="0.3">
      <c r="A27" s="19"/>
      <c r="B27" s="19"/>
      <c r="C27" s="19"/>
      <c r="D27" s="19"/>
      <c r="E27" s="19"/>
      <c r="F27" s="19"/>
      <c r="G27" s="19"/>
      <c r="H27" s="19"/>
      <c r="I27" s="19"/>
    </row>
    <row r="28" spans="1:9" x14ac:dyDescent="0.3">
      <c r="A28" s="20" t="s">
        <v>30</v>
      </c>
      <c r="B28" s="19"/>
      <c r="C28" s="19"/>
      <c r="D28" s="19"/>
      <c r="E28" s="19"/>
      <c r="F28" s="19"/>
      <c r="G28" s="19"/>
      <c r="H28" s="19"/>
      <c r="I28" s="19"/>
    </row>
    <row r="29" spans="1:9" x14ac:dyDescent="0.3">
      <c r="A29" s="20" t="s">
        <v>31</v>
      </c>
      <c r="B29" s="19"/>
      <c r="C29" s="19"/>
      <c r="D29" s="19"/>
      <c r="E29" s="19"/>
      <c r="F29" s="19"/>
      <c r="G29" s="19"/>
      <c r="H29" s="19"/>
      <c r="I29" s="19"/>
    </row>
    <row r="30" spans="1:9" x14ac:dyDescent="0.3">
      <c r="A30" s="19"/>
      <c r="B30" s="20" t="s">
        <v>32</v>
      </c>
      <c r="C30" s="19"/>
      <c r="D30" s="19"/>
      <c r="E30" s="19"/>
      <c r="F30" s="19"/>
      <c r="G30" s="19"/>
      <c r="H30" s="19"/>
      <c r="I30" s="19"/>
    </row>
    <row r="31" spans="1:9" x14ac:dyDescent="0.3">
      <c r="A31" s="19"/>
      <c r="B31" s="20"/>
      <c r="C31" s="19"/>
      <c r="D31" s="19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19"/>
      <c r="E32" s="19"/>
      <c r="F32" s="19"/>
      <c r="G32" s="19"/>
      <c r="H32" s="19"/>
      <c r="I32" s="1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2025-07-10T01:37:06Z</dcterms:created>
  <dcterms:modified xsi:type="dcterms:W3CDTF">2025-07-10T01:37:41Z</dcterms:modified>
</cp:coreProperties>
</file>