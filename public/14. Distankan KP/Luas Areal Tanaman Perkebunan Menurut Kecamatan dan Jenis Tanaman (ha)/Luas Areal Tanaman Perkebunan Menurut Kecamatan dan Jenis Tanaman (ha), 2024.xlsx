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2D25FDC2-8769-49A9-9E7F-A4656408BB97}" xr6:coauthVersionLast="47" xr6:coauthVersionMax="47" xr10:uidLastSave="{00000000-0000-0000-0000-000000000000}"/>
  <bookViews>
    <workbookView xWindow="28680" yWindow="-120" windowWidth="29040" windowHeight="15720" xr2:uid="{0FD3DB95-917E-4B81-9C6F-6B0F06D642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6" i="1" l="1"/>
  <c r="J26" i="1"/>
  <c r="I26" i="1"/>
  <c r="H26" i="1"/>
  <c r="G26" i="1"/>
  <c r="F26" i="1"/>
  <c r="E26" i="1"/>
  <c r="D26" i="1"/>
</calcChain>
</file>

<file path=xl/sharedStrings.xml><?xml version="1.0" encoding="utf-8"?>
<sst xmlns="http://schemas.openxmlformats.org/spreadsheetml/2006/main" count="36" uniqueCount="36">
  <si>
    <t>Tabel 5.3.1</t>
  </si>
  <si>
    <t>Kelapa Sawit</t>
  </si>
  <si>
    <t>Kelapa Dalam</t>
  </si>
  <si>
    <t>Karet</t>
  </si>
  <si>
    <t>Kopi Robusta</t>
  </si>
  <si>
    <t>Kakao</t>
  </si>
  <si>
    <t>Tebu</t>
  </si>
  <si>
    <t>Teh</t>
  </si>
  <si>
    <t>Tembakau</t>
  </si>
  <si>
    <t>Kopi Arabica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</si>
  <si>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</si>
  <si>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</si>
  <si>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</si>
  <si>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</si>
  <si>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</si>
  <si>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</si>
  <si>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</si>
  <si>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</si>
  <si>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</si>
  <si>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</si>
  <si>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</si>
  <si>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</si>
  <si>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</si>
  <si>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</si>
  <si>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</si>
  <si>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</si>
  <si>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</si>
  <si>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</si>
  <si>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</si>
  <si>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</si>
  <si>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</si>
  <si>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</si>
  <si>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</si>
  <si>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</si>
  <si>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</si>
  <si>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>Luas Areal Tanaman Perkebunan Menurut Kecamatan dan Jenis Tanaman (ha),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</si>
</sst>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&quot;(&quot;#&quot;)&quot;"/>
    <numFmt numFmtId="165" formatCode="#&quot;.&quot;"/>
    <numFmt numFmtId="166" formatCode="_-* #,##0.00_-;\-* #,##0.00_-;_-* &quot;-&quot;_-;_-@"/>
  </numFmts>
  <fonts count="8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rgb="FF92D05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41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1" applyFont="1"/>
    <xf numFmtId="0" fontId="2" fillId="0" borderId="0" xfId="0" applyFont="1"/>
    <xf numFmtId="0" fontId="3" fillId="0" borderId="0" xfId="0" applyFont="1" applyAlignment="1">
      <alignment horizontal="right"/>
    </xf>
    <xf numFmtId="0" fontId="0" fillId="0" borderId="0" xfId="1" applyFont="1"/>
    <xf numFmtId="0" fontId="2" fillId="2" borderId="0" xfId="1" applyFont="1" applyFill="1"/>
    <xf numFmtId="0" fontId="2" fillId="0" borderId="0" xfId="1" applyFont="1" applyAlignment="1">
      <alignment vertical="center"/>
    </xf>
    <xf numFmtId="0" fontId="2" fillId="0" borderId="4" xfId="1" applyFont="1" applyBorder="1" applyAlignment="1">
      <alignment horizontal="center" vertical="center" wrapText="1"/>
    </xf>
    <xf numFmtId="0" fontId="4" fillId="0" borderId="3" xfId="1" applyFont="1" applyBorder="1"/>
    <xf numFmtId="0" fontId="2" fillId="3" borderId="5" xfId="0" applyFont="1" applyFill="1" applyBorder="1" applyAlignment="1">
      <alignment horizontal="center" vertical="center" wrapText="1"/>
    </xf>
    <xf numFmtId="164" fontId="5" fillId="0" borderId="4" xfId="1" applyNumberFormat="1" applyFont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165" fontId="5" fillId="0" borderId="4" xfId="1" applyNumberFormat="1" applyFont="1" applyBorder="1"/>
    <xf numFmtId="0" fontId="5" fillId="0" borderId="3" xfId="1" applyFont="1" applyBorder="1"/>
    <xf numFmtId="166" fontId="6" fillId="0" borderId="5" xfId="0" applyNumberFormat="1" applyFont="1" applyBorder="1"/>
    <xf numFmtId="165" fontId="6" fillId="0" borderId="4" xfId="1" applyNumberFormat="1" applyFont="1" applyBorder="1"/>
    <xf numFmtId="0" fontId="6" fillId="0" borderId="3" xfId="1" applyFont="1" applyBorder="1"/>
    <xf numFmtId="0" fontId="6" fillId="0" borderId="0" xfId="1" applyFont="1"/>
    <xf numFmtId="0" fontId="2" fillId="0" borderId="4" xfId="1" applyFont="1" applyBorder="1" applyAlignment="1">
      <alignment horizontal="center"/>
    </xf>
    <xf numFmtId="166" fontId="2" fillId="4" borderId="5" xfId="0" applyNumberFormat="1" applyFont="1" applyFill="1" applyBorder="1"/>
    <xf numFmtId="0" fontId="6" fillId="0" borderId="0" xfId="0" applyFont="1"/>
    <xf numFmtId="166" fontId="6" fillId="0" borderId="0" xfId="0" applyNumberFormat="1" applyFont="1"/>
    <xf numFmtId="0" fontId="5" fillId="0" borderId="0" xfId="1" applyFont="1"/>
    <xf numFmtId="0" fontId="2" fillId="0" borderId="4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0" xfId="1" applyFont="1" applyAlignment="1">
      <alignment horizontal="left"/>
    </xf>
  </cellXfs>
  <cellStyles count="3">
    <cellStyle name="Comma [0] 2" xfId="2" xr:uid="{8759D470-869C-4C47-BFC6-DA9FB948FE12}"/>
    <cellStyle name="Normal" xfId="0" builtinId="0"/>
    <cellStyle name="Normal 2" xfId="1" xr:uid="{0413BC9D-21A2-4136-A28B-F4AE5FD1F8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3EB91-1E20-4F8F-AEC3-98201B496451}">
  <dimension ref="A1:K31"/>
  <sheetViews>
    <sheetView tabSelected="1" workbookViewId="0">
      <selection activeCell="C2" sqref="C2"/>
    </sheetView>
  </sheetViews>
  <sheetFormatPr defaultColWidth="14.44140625" defaultRowHeight="14.4" x14ac:dyDescent="0.3"/>
  <cols>
    <col min="1" max="1" width="4.5546875" style="4" customWidth="1"/>
    <col min="2" max="2" width="19.44140625" style="4" customWidth="1"/>
    <col min="3" max="3" width="9.77734375" customWidth="1"/>
    <col min="4" max="4" width="11.21875" customWidth="1"/>
    <col min="5" max="11" width="9.77734375" customWidth="1"/>
    <col min="12" max="16384" width="14.44140625" style="4"/>
  </cols>
  <sheetData>
    <row r="1" spans="1:11" x14ac:dyDescent="0.3">
      <c r="A1" s="1" t="s">
        <v>0</v>
      </c>
      <c r="B1" s="1"/>
      <c r="C1" s="2"/>
      <c r="D1" s="2"/>
      <c r="E1" s="2"/>
      <c r="F1" s="2"/>
      <c r="G1" s="2"/>
      <c r="H1" s="2"/>
      <c r="I1" s="2"/>
      <c r="J1" s="3"/>
      <c r="K1" s="2"/>
    </row>
    <row r="2" spans="1:11" x14ac:dyDescent="0.3">
      <c r="A2" s="5"/>
      <c r="B2" s="5"/>
      <c r="C2" s="27" t="s">
        <v>35</v>
      </c>
      <c r="D2" s="2"/>
      <c r="E2" s="2"/>
      <c r="F2" s="2"/>
      <c r="G2" s="2"/>
      <c r="H2" s="2"/>
      <c r="I2" s="2"/>
      <c r="J2" s="2"/>
      <c r="K2" s="2"/>
    </row>
    <row r="3" spans="1:11" ht="30" customHeight="1" x14ac:dyDescent="0.3">
      <c r="A3" s="6"/>
      <c r="B3" s="6"/>
      <c r="C3" s="24" t="s">
        <v>1</v>
      </c>
      <c r="D3" s="26" t="s">
        <v>2</v>
      </c>
      <c r="E3" s="23" t="s">
        <v>3</v>
      </c>
      <c r="F3" s="25" t="s">
        <v>4</v>
      </c>
      <c r="G3" s="23" t="s">
        <v>5</v>
      </c>
      <c r="H3" s="23" t="s">
        <v>6</v>
      </c>
      <c r="I3" s="23" t="s">
        <v>7</v>
      </c>
      <c r="J3" s="24" t="s">
        <v>8</v>
      </c>
      <c r="K3" s="25" t="s">
        <v>9</v>
      </c>
    </row>
    <row r="4" spans="1:11" x14ac:dyDescent="0.3">
      <c r="A4" s="7" t="s">
        <v>10</v>
      </c>
      <c r="B4" s="8"/>
      <c r="C4" s="9">
        <v>2024</v>
      </c>
      <c r="D4" s="9">
        <v>2024</v>
      </c>
      <c r="E4" s="9">
        <v>2024</v>
      </c>
      <c r="F4" s="9">
        <v>2024</v>
      </c>
      <c r="G4" s="9">
        <v>2024</v>
      </c>
      <c r="H4" s="9">
        <v>2024</v>
      </c>
      <c r="I4" s="9">
        <v>2024</v>
      </c>
      <c r="J4" s="9">
        <v>2024</v>
      </c>
      <c r="K4" s="9">
        <v>2024</v>
      </c>
    </row>
    <row r="5" spans="1:11" x14ac:dyDescent="0.3">
      <c r="A5" s="10">
        <v>1</v>
      </c>
      <c r="B5" s="8"/>
      <c r="C5" s="11">
        <v>4</v>
      </c>
      <c r="D5" s="11">
        <v>7</v>
      </c>
      <c r="E5" s="11">
        <v>10</v>
      </c>
      <c r="F5" s="11">
        <v>13</v>
      </c>
      <c r="G5" s="11">
        <v>19</v>
      </c>
      <c r="H5" s="11">
        <v>22</v>
      </c>
      <c r="I5" s="11">
        <v>25</v>
      </c>
      <c r="J5" s="11">
        <v>28</v>
      </c>
      <c r="K5" s="11">
        <v>16</v>
      </c>
    </row>
    <row r="6" spans="1:11" x14ac:dyDescent="0.3">
      <c r="A6" s="12">
        <v>1</v>
      </c>
      <c r="B6" s="13" t="s">
        <v>11</v>
      </c>
      <c r="C6" s="14">
        <v>0</v>
      </c>
      <c r="D6" s="14">
        <v>2343.2199999999998</v>
      </c>
      <c r="E6" s="14">
        <v>0</v>
      </c>
      <c r="F6" s="14">
        <v>32.56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</row>
    <row r="7" spans="1:11" x14ac:dyDescent="0.3">
      <c r="A7" s="12">
        <v>2</v>
      </c>
      <c r="B7" s="13" t="s">
        <v>12</v>
      </c>
      <c r="C7" s="14">
        <v>0</v>
      </c>
      <c r="D7" s="14">
        <v>235.14000000000001</v>
      </c>
      <c r="E7" s="14">
        <v>0</v>
      </c>
      <c r="F7" s="14">
        <v>4.41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</row>
    <row r="8" spans="1:11" x14ac:dyDescent="0.3">
      <c r="A8" s="12">
        <v>3</v>
      </c>
      <c r="B8" s="13" t="s">
        <v>13</v>
      </c>
      <c r="C8" s="14">
        <v>0</v>
      </c>
      <c r="D8" s="14">
        <v>1117</v>
      </c>
      <c r="E8" s="14">
        <v>24.4</v>
      </c>
      <c r="F8" s="14">
        <v>48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</row>
    <row r="9" spans="1:11" x14ac:dyDescent="0.3">
      <c r="A9" s="12">
        <v>4</v>
      </c>
      <c r="B9" s="13" t="s">
        <v>14</v>
      </c>
      <c r="C9" s="14">
        <v>0</v>
      </c>
      <c r="D9" s="14">
        <v>1080.23</v>
      </c>
      <c r="E9" s="14">
        <v>14</v>
      </c>
      <c r="F9" s="14">
        <v>36.39</v>
      </c>
      <c r="G9" s="14">
        <v>4.5</v>
      </c>
      <c r="H9" s="14">
        <v>0</v>
      </c>
      <c r="I9" s="14">
        <v>0</v>
      </c>
      <c r="J9" s="14">
        <v>0</v>
      </c>
      <c r="K9" s="14">
        <v>0</v>
      </c>
    </row>
    <row r="10" spans="1:11" x14ac:dyDescent="0.3">
      <c r="A10" s="12">
        <v>5</v>
      </c>
      <c r="B10" s="13" t="s">
        <v>15</v>
      </c>
      <c r="C10" s="14">
        <v>0</v>
      </c>
      <c r="D10" s="14">
        <v>803.86</v>
      </c>
      <c r="E10" s="14">
        <v>16.5</v>
      </c>
      <c r="F10" s="14">
        <v>70.44</v>
      </c>
      <c r="G10" s="14">
        <v>130.25</v>
      </c>
      <c r="H10" s="14">
        <v>0</v>
      </c>
      <c r="I10" s="14">
        <v>0</v>
      </c>
      <c r="J10" s="14">
        <v>0</v>
      </c>
      <c r="K10" s="14">
        <v>0</v>
      </c>
    </row>
    <row r="11" spans="1:11" x14ac:dyDescent="0.3">
      <c r="A11" s="12">
        <v>6</v>
      </c>
      <c r="B11" s="13" t="s">
        <v>16</v>
      </c>
      <c r="C11" s="14">
        <v>0</v>
      </c>
      <c r="D11" s="14">
        <v>427.05</v>
      </c>
      <c r="E11" s="14">
        <v>0</v>
      </c>
      <c r="F11" s="14">
        <v>151.19999999999999</v>
      </c>
      <c r="G11" s="14">
        <v>10</v>
      </c>
      <c r="H11" s="14">
        <v>0</v>
      </c>
      <c r="I11" s="14">
        <v>0</v>
      </c>
      <c r="J11" s="14">
        <v>0</v>
      </c>
      <c r="K11" s="14">
        <v>0</v>
      </c>
    </row>
    <row r="12" spans="1:11" x14ac:dyDescent="0.3">
      <c r="A12" s="12">
        <v>7</v>
      </c>
      <c r="B12" s="13" t="s">
        <v>17</v>
      </c>
      <c r="C12" s="14">
        <v>0</v>
      </c>
      <c r="D12" s="14">
        <v>1116.1199999999999</v>
      </c>
      <c r="E12" s="14">
        <v>387</v>
      </c>
      <c r="F12" s="14">
        <v>77.599999999999994</v>
      </c>
      <c r="G12" s="14">
        <v>1.51</v>
      </c>
      <c r="H12" s="14">
        <v>0</v>
      </c>
      <c r="I12" s="14">
        <v>0</v>
      </c>
      <c r="J12" s="14">
        <v>0</v>
      </c>
      <c r="K12" s="14">
        <v>0</v>
      </c>
    </row>
    <row r="13" spans="1:11" x14ac:dyDescent="0.3">
      <c r="A13" s="15">
        <v>8</v>
      </c>
      <c r="B13" s="16" t="s">
        <v>18</v>
      </c>
      <c r="C13" s="14">
        <v>0</v>
      </c>
      <c r="D13" s="14">
        <v>781.54</v>
      </c>
      <c r="E13" s="14">
        <v>0</v>
      </c>
      <c r="F13" s="14">
        <v>71.63</v>
      </c>
      <c r="G13" s="14">
        <v>6.5</v>
      </c>
      <c r="H13" s="14">
        <v>0</v>
      </c>
      <c r="I13" s="14">
        <v>0</v>
      </c>
      <c r="J13" s="14">
        <v>0</v>
      </c>
      <c r="K13" s="14">
        <v>0</v>
      </c>
    </row>
    <row r="14" spans="1:11" x14ac:dyDescent="0.3">
      <c r="A14" s="12">
        <v>9</v>
      </c>
      <c r="B14" s="13" t="s">
        <v>19</v>
      </c>
      <c r="C14" s="14">
        <v>0</v>
      </c>
      <c r="D14" s="14">
        <v>774.87</v>
      </c>
      <c r="E14" s="14">
        <v>0</v>
      </c>
      <c r="F14" s="14">
        <v>51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</row>
    <row r="15" spans="1:11" x14ac:dyDescent="0.3">
      <c r="A15" s="12">
        <v>10</v>
      </c>
      <c r="B15" s="13" t="s">
        <v>20</v>
      </c>
      <c r="C15" s="14">
        <v>0</v>
      </c>
      <c r="D15" s="14">
        <v>560.47</v>
      </c>
      <c r="E15" s="14">
        <v>0</v>
      </c>
      <c r="F15" s="14">
        <v>95.55</v>
      </c>
      <c r="G15" s="14">
        <v>14</v>
      </c>
      <c r="H15" s="14">
        <v>0</v>
      </c>
      <c r="I15" s="14">
        <v>0</v>
      </c>
      <c r="J15" s="14">
        <v>0</v>
      </c>
      <c r="K15" s="14">
        <v>0</v>
      </c>
    </row>
    <row r="16" spans="1:11" x14ac:dyDescent="0.3">
      <c r="A16" s="12">
        <v>11</v>
      </c>
      <c r="B16" s="13" t="s">
        <v>21</v>
      </c>
      <c r="C16" s="14">
        <v>0</v>
      </c>
      <c r="D16" s="14">
        <v>722.5</v>
      </c>
      <c r="E16" s="14">
        <v>0</v>
      </c>
      <c r="F16" s="14">
        <v>118.5</v>
      </c>
      <c r="G16" s="14">
        <v>17</v>
      </c>
      <c r="H16" s="14">
        <v>0</v>
      </c>
      <c r="I16" s="14">
        <v>0</v>
      </c>
      <c r="J16" s="14">
        <v>0</v>
      </c>
      <c r="K16" s="14">
        <v>0</v>
      </c>
    </row>
    <row r="17" spans="1:11" x14ac:dyDescent="0.3">
      <c r="A17" s="12">
        <v>12</v>
      </c>
      <c r="B17" s="13" t="s">
        <v>22</v>
      </c>
      <c r="C17" s="14">
        <v>0</v>
      </c>
      <c r="D17" s="14">
        <v>778</v>
      </c>
      <c r="E17" s="14">
        <v>2</v>
      </c>
      <c r="F17" s="14">
        <v>17.04</v>
      </c>
      <c r="G17" s="14">
        <v>6.28</v>
      </c>
      <c r="H17" s="14">
        <v>0</v>
      </c>
      <c r="I17" s="14">
        <v>0</v>
      </c>
      <c r="J17" s="14">
        <v>0</v>
      </c>
      <c r="K17" s="14">
        <v>0</v>
      </c>
    </row>
    <row r="18" spans="1:11" x14ac:dyDescent="0.3">
      <c r="A18" s="12">
        <v>13</v>
      </c>
      <c r="B18" s="13" t="s">
        <v>23</v>
      </c>
      <c r="C18" s="14">
        <v>0</v>
      </c>
      <c r="D18" s="14">
        <v>1216</v>
      </c>
      <c r="E18" s="14">
        <v>0</v>
      </c>
      <c r="F18" s="14">
        <v>133</v>
      </c>
      <c r="G18" s="14">
        <v>15</v>
      </c>
      <c r="H18" s="14">
        <v>0</v>
      </c>
      <c r="I18" s="14">
        <v>0</v>
      </c>
      <c r="J18" s="14">
        <v>0</v>
      </c>
      <c r="K18" s="14">
        <v>0</v>
      </c>
    </row>
    <row r="19" spans="1:11" x14ac:dyDescent="0.3">
      <c r="A19" s="12">
        <v>14</v>
      </c>
      <c r="B19" s="13" t="s">
        <v>24</v>
      </c>
      <c r="C19" s="14">
        <v>0</v>
      </c>
      <c r="D19" s="14">
        <v>10.23</v>
      </c>
      <c r="E19" s="14">
        <v>0</v>
      </c>
      <c r="F19" s="14">
        <v>261.3</v>
      </c>
      <c r="G19" s="14">
        <v>0</v>
      </c>
      <c r="H19" s="14">
        <v>0</v>
      </c>
      <c r="I19" s="14">
        <v>148.30000000000001</v>
      </c>
      <c r="J19" s="14">
        <v>5</v>
      </c>
      <c r="K19" s="14">
        <v>54.300000000000004</v>
      </c>
    </row>
    <row r="20" spans="1:11" x14ac:dyDescent="0.3">
      <c r="A20" s="12">
        <v>15</v>
      </c>
      <c r="B20" s="13" t="s">
        <v>25</v>
      </c>
      <c r="C20" s="14">
        <v>0</v>
      </c>
      <c r="D20" s="14">
        <v>47.08</v>
      </c>
      <c r="E20" s="14">
        <v>0</v>
      </c>
      <c r="F20" s="14">
        <v>50.29</v>
      </c>
      <c r="G20" s="14">
        <v>0</v>
      </c>
      <c r="H20" s="14">
        <v>0</v>
      </c>
      <c r="I20" s="14">
        <v>34.25</v>
      </c>
      <c r="J20" s="14">
        <v>103</v>
      </c>
      <c r="K20" s="14">
        <v>240.8</v>
      </c>
    </row>
    <row r="21" spans="1:11" x14ac:dyDescent="0.3">
      <c r="A21" s="12">
        <v>16</v>
      </c>
      <c r="B21" s="13" t="s">
        <v>26</v>
      </c>
      <c r="C21" s="14">
        <v>0</v>
      </c>
      <c r="D21" s="14">
        <v>0</v>
      </c>
      <c r="E21" s="14">
        <v>0</v>
      </c>
      <c r="F21" s="14">
        <v>156.19999999999999</v>
      </c>
      <c r="G21" s="14">
        <v>0</v>
      </c>
      <c r="H21" s="14">
        <v>0</v>
      </c>
      <c r="I21" s="14">
        <v>17.03</v>
      </c>
      <c r="J21" s="14">
        <v>338</v>
      </c>
      <c r="K21" s="14">
        <v>343.4</v>
      </c>
    </row>
    <row r="22" spans="1:11" x14ac:dyDescent="0.3">
      <c r="A22" s="12">
        <v>17</v>
      </c>
      <c r="B22" s="13" t="s">
        <v>27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14</v>
      </c>
      <c r="J22" s="14">
        <v>23</v>
      </c>
      <c r="K22" s="14">
        <v>33</v>
      </c>
    </row>
    <row r="23" spans="1:11" x14ac:dyDescent="0.3">
      <c r="A23" s="12">
        <v>18</v>
      </c>
      <c r="B23" s="13" t="s">
        <v>28</v>
      </c>
      <c r="C23" s="14">
        <v>0</v>
      </c>
      <c r="D23" s="14">
        <v>6.67</v>
      </c>
      <c r="E23" s="14">
        <v>0</v>
      </c>
      <c r="F23" s="14">
        <v>176.49999999999997</v>
      </c>
      <c r="G23" s="14">
        <v>0</v>
      </c>
      <c r="H23" s="14">
        <v>0</v>
      </c>
      <c r="I23" s="14">
        <v>669.22</v>
      </c>
      <c r="J23" s="14">
        <v>7.5</v>
      </c>
      <c r="K23" s="14">
        <v>90.56</v>
      </c>
    </row>
    <row r="24" spans="1:11" x14ac:dyDescent="0.3">
      <c r="A24" s="12">
        <v>19</v>
      </c>
      <c r="B24" s="13" t="s">
        <v>29</v>
      </c>
      <c r="C24" s="14">
        <v>0</v>
      </c>
      <c r="D24" s="14">
        <v>33.9</v>
      </c>
      <c r="E24" s="14">
        <v>0</v>
      </c>
      <c r="F24" s="14">
        <v>293.52000000000004</v>
      </c>
      <c r="G24" s="14">
        <v>0</v>
      </c>
      <c r="H24" s="14">
        <v>0</v>
      </c>
      <c r="I24" s="14">
        <v>593.76</v>
      </c>
      <c r="J24" s="14">
        <v>24.5</v>
      </c>
      <c r="K24" s="14">
        <v>850</v>
      </c>
    </row>
    <row r="25" spans="1:11" x14ac:dyDescent="0.3">
      <c r="A25" s="12">
        <v>20</v>
      </c>
      <c r="B25" s="13" t="s">
        <v>30</v>
      </c>
      <c r="C25" s="14">
        <v>0</v>
      </c>
      <c r="D25" s="14">
        <v>0</v>
      </c>
      <c r="E25" s="14">
        <v>0</v>
      </c>
      <c r="F25" s="14">
        <v>91.95</v>
      </c>
      <c r="G25" s="14">
        <v>0</v>
      </c>
      <c r="H25" s="14">
        <v>0</v>
      </c>
      <c r="I25" s="14">
        <v>168.59</v>
      </c>
      <c r="J25" s="14">
        <v>0</v>
      </c>
      <c r="K25" s="14">
        <v>53</v>
      </c>
    </row>
    <row r="26" spans="1:11" x14ac:dyDescent="0.3">
      <c r="A26" s="18" t="s">
        <v>31</v>
      </c>
      <c r="B26" s="8"/>
      <c r="C26" s="19"/>
      <c r="D26" s="19">
        <f>SUM(D6:D25)</f>
        <v>12053.88</v>
      </c>
      <c r="E26" s="19">
        <f t="shared" ref="E26:J26" si="0">SUM(E6:E25)</f>
        <v>443.9</v>
      </c>
      <c r="F26" s="19">
        <f t="shared" si="0"/>
        <v>1937.08</v>
      </c>
      <c r="G26" s="19">
        <f t="shared" si="0"/>
        <v>205.04</v>
      </c>
      <c r="H26" s="19">
        <f t="shared" si="0"/>
        <v>0</v>
      </c>
      <c r="I26" s="19">
        <f t="shared" si="0"/>
        <v>1645.1499999999999</v>
      </c>
      <c r="J26" s="19">
        <f t="shared" si="0"/>
        <v>501</v>
      </c>
      <c r="K26" s="19">
        <f t="shared" ref="K26" si="1">SUM(K6:K25)</f>
        <v>1665.06</v>
      </c>
    </row>
    <row r="27" spans="1:11" x14ac:dyDescent="0.3">
      <c r="A27" s="17"/>
      <c r="B27" s="17"/>
      <c r="C27" s="20"/>
      <c r="D27" s="20"/>
      <c r="E27" s="20"/>
      <c r="F27" s="21"/>
      <c r="G27" s="20"/>
      <c r="H27" s="20"/>
      <c r="I27" s="20"/>
      <c r="J27" s="20"/>
      <c r="K27" s="21"/>
    </row>
    <row r="28" spans="1:11" x14ac:dyDescent="0.3">
      <c r="A28" s="22" t="s">
        <v>32</v>
      </c>
      <c r="B28" s="17"/>
      <c r="C28" s="20"/>
      <c r="D28" s="20"/>
      <c r="E28" s="20"/>
      <c r="F28" s="20"/>
      <c r="G28" s="20"/>
      <c r="H28" s="20"/>
      <c r="I28" s="20"/>
      <c r="J28" s="20"/>
      <c r="K28" s="20"/>
    </row>
    <row r="29" spans="1:11" x14ac:dyDescent="0.3">
      <c r="A29" s="22" t="s">
        <v>33</v>
      </c>
      <c r="B29" s="17"/>
      <c r="C29" s="20"/>
      <c r="D29" s="20"/>
      <c r="E29" s="20"/>
      <c r="F29" s="20"/>
      <c r="G29" s="20"/>
      <c r="H29" s="20"/>
      <c r="I29" s="20"/>
      <c r="J29" s="20"/>
      <c r="K29" s="20"/>
    </row>
    <row r="30" spans="1:11" x14ac:dyDescent="0.3">
      <c r="A30" s="17"/>
      <c r="B30" s="22" t="s">
        <v>34</v>
      </c>
      <c r="C30" s="20"/>
      <c r="D30" s="20"/>
      <c r="E30" s="20"/>
      <c r="F30" s="20"/>
      <c r="G30" s="20"/>
      <c r="H30" s="20"/>
      <c r="I30" s="20"/>
      <c r="J30" s="20"/>
      <c r="K30" s="20"/>
    </row>
    <row r="31" spans="1:11" x14ac:dyDescent="0.3">
      <c r="B31" s="22"/>
    </row>
  </sheetData>
  <mergeCells count="3">
    <mergeCell ref="A4:B4"/>
    <mergeCell ref="A5:B5"/>
    <mergeCell ref="A26:B26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2025-07-10T03:11:24Z</dcterms:created>
  <dcterms:modified xsi:type="dcterms:W3CDTF">2025-07-10T03:19:00Z</dcterms:modified>
</cp:coreProperties>
</file>