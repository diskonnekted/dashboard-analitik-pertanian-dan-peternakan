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8F85992-2EEC-46FA-9D82-4942C84DF4FF}" xr6:coauthVersionLast="47" xr6:coauthVersionMax="47" xr10:uidLastSave="{00000000-0000-0000-0000-000000000000}"/>
  <bookViews>
    <workbookView xWindow="28680" yWindow="-120" windowWidth="29040" windowHeight="15720" xr2:uid="{51F6697E-0A19-4EA4-A17D-2B6F4EB2E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E31" i="1"/>
  <c r="D31" i="1"/>
  <c r="I30" i="1"/>
  <c r="I29" i="1"/>
  <c r="I28" i="1"/>
  <c r="I27" i="1"/>
  <c r="I26" i="1"/>
  <c r="I25" i="1"/>
  <c r="I24" i="1"/>
  <c r="I23" i="1"/>
  <c r="I22" i="1"/>
  <c r="I14" i="1"/>
  <c r="I13" i="1"/>
  <c r="I12" i="1"/>
  <c r="I11" i="1"/>
  <c r="I31" i="1" l="1"/>
</calcChain>
</file>

<file path=xl/sharedStrings.xml><?xml version="1.0" encoding="utf-8"?>
<sst xmlns="http://schemas.openxmlformats.org/spreadsheetml/2006/main" count="79" uniqueCount="69">
  <si>
    <t xml:space="preserve">Banyaknya Produksi Perikanan Hasil Obyek Penangkapan </t>
  </si>
  <si>
    <t>Tabel : 5.6.9</t>
  </si>
  <si>
    <t>Table</t>
  </si>
  <si>
    <t>Perairan Umum Sungai, Waduk dan Jaring Karamba Apung</t>
  </si>
  <si>
    <t>Menurut Kecamatan di Kab. Banjarnegara Tahun 2022</t>
  </si>
  <si>
    <t>Number of Fishery Production by Subdistrict in Banjarnegara 2022</t>
  </si>
  <si>
    <t>Obyek Yang Diusahakan</t>
  </si>
  <si>
    <r>
      <rPr>
        <sz val="11"/>
        <color theme="1"/>
        <rFont val="Calibri"/>
        <family val="2"/>
      </rP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</si>
  <si>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Perairan Umum Sungai</t>
  </si>
  <si>
    <t>Hasil Obyek Perairan Umum Waduk</t>
  </si>
  <si>
    <t>Produksi</t>
  </si>
  <si>
    <t>Dipelihara</t>
  </si>
  <si>
    <t>Dijual ke</t>
  </si>
  <si>
    <t>Sendiri</t>
  </si>
  <si>
    <t>lain daerah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</si>
  <si>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</si>
  <si>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</si>
  <si>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</si>
  <si>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</si>
  <si>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</si>
  <si>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</si>
  <si>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</si>
  <si>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</si>
  <si>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</si>
  <si>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</si>
  <si>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</si>
  <si>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</si>
  <si>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</si>
  <si>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</si>
  <si>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</si>
  <si>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</si>
  <si>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</si>
  <si>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</si>
  <si>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</si>
  <si>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</si>
  <si>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</si>
  <si>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</si>
  <si>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</si>
  <si>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</si>
  <si>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</si>
  <si>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</si>
  <si>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</si>
  <si>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</si>
  <si>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</si>
  <si>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</si>
  <si>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</si>
  <si>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</si>
  <si>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</si>
  <si>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</si>
  <si>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</si>
  <si>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</si>
  <si>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</si>
  <si>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</si>
  <si>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</si>
  <si>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</si>
  <si>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</si>
  <si>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</si>
  <si>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</si>
  <si>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</si>
  <si>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</si>
  <si>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</si>
  <si>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</si>
  <si>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</si>
  <si>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</si>
  <si>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</si>
  <si>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2020</t>
  </si>
  <si>
    <t>Tahun 2021</t>
  </si>
  <si>
    <t>Tahun 2018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</si>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</sst>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6" formatCode="_-* #,##0_-;\-* #,##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0" xfId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165" fontId="8" fillId="0" borderId="0" xfId="1" applyNumberFormat="1" applyFont="1"/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/>
    <xf numFmtId="165" fontId="4" fillId="0" borderId="2" xfId="1" applyNumberFormat="1" applyFont="1" applyBorder="1" applyAlignment="1">
      <alignment horizontal="center" vertical="center" wrapText="1"/>
    </xf>
    <xf numFmtId="0" fontId="9" fillId="0" borderId="2" xfId="1" applyFont="1" applyBorder="1"/>
    <xf numFmtId="165" fontId="4" fillId="0" borderId="0" xfId="1" applyNumberFormat="1" applyFont="1" applyAlignment="1">
      <alignment horizontal="center" wrapText="1"/>
    </xf>
    <xf numFmtId="165" fontId="4" fillId="0" borderId="0" xfId="1" applyNumberFormat="1" applyFont="1" applyAlignment="1">
      <alignment horizontal="center" vertical="top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2" xfId="1" quotePrefix="1" applyNumberFormat="1" applyFont="1" applyBorder="1" applyAlignment="1">
      <alignment horizontal="center" vertical="center"/>
    </xf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6" fontId="7" fillId="0" borderId="0" xfId="1" applyNumberFormat="1" applyFont="1" applyAlignment="1">
      <alignment horizontal="right"/>
    </xf>
    <xf numFmtId="166" fontId="4" fillId="0" borderId="0" xfId="1" applyNumberFormat="1" applyFont="1"/>
    <xf numFmtId="165" fontId="7" fillId="0" borderId="0" xfId="1" applyNumberFormat="1" applyFont="1" applyAlignment="1">
      <alignment horizontal="right"/>
    </xf>
    <xf numFmtId="166" fontId="7" fillId="0" borderId="0" xfId="1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right"/>
    </xf>
    <xf numFmtId="165" fontId="3" fillId="2" borderId="2" xfId="1" applyNumberFormat="1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4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9" fillId="0" borderId="4" xfId="1" applyFont="1" applyBorder="1"/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left"/>
    </xf>
    <xf numFmtId="0" fontId="4" fillId="0" borderId="0" xfId="1" applyFont="1" applyAlignment="1">
      <alignment vertical="top"/>
    </xf>
  </cellXfs>
  <cellStyles count="3">
    <cellStyle name="Comma [0] 2 2" xfId="2" xr:uid="{54D1DAAD-9766-47FC-A756-8D31ACB7ED26}"/>
    <cellStyle name="Normal" xfId="0" builtinId="0"/>
    <cellStyle name="Normal 4" xfId="1" xr:uid="{14D795E8-CBCB-43A8-B70E-02F1C7A7CD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B251-CEB4-4549-A1D1-817827D1A6DF}">
  <dimension ref="A1:I999"/>
  <sheetViews>
    <sheetView tabSelected="1" workbookViewId="0">
      <selection activeCell="D1" sqref="D1:I1"/>
    </sheetView>
  </sheetViews>
  <sheetFormatPr defaultColWidth="14.44140625" defaultRowHeight="13.2" x14ac:dyDescent="0.25"/>
  <cols>
    <col min="1" max="1" width="3.21875" style="4" customWidth="1"/>
    <col min="2" max="2" width="8.77734375" style="4" customWidth="1"/>
    <col min="3" max="3" width="3.21875" style="4" customWidth="1"/>
    <col min="4" max="5" width="11.77734375" style="4" customWidth="1"/>
    <col min="6" max="6" width="11.21875" style="4" customWidth="1"/>
    <col min="7" max="8" width="11.77734375" style="4" customWidth="1"/>
    <col min="9" max="9" width="12.21875" style="4" customWidth="1"/>
    <col min="10" max="16384" width="14.44140625" style="4"/>
  </cols>
  <sheetData>
    <row r="1" spans="1:9" ht="12.75" customHeight="1" x14ac:dyDescent="0.3">
      <c r="A1" s="5" t="s">
        <v>1</v>
      </c>
      <c r="B1" s="1"/>
      <c r="C1" s="6"/>
      <c r="D1" s="7" t="s">
        <v>0</v>
      </c>
      <c r="E1" s="1"/>
      <c r="F1" s="1"/>
      <c r="G1" s="1"/>
      <c r="H1" s="1"/>
      <c r="I1" s="1"/>
    </row>
    <row r="2" spans="1:9" ht="12.75" customHeight="1" x14ac:dyDescent="0.3">
      <c r="A2" s="9" t="s">
        <v>2</v>
      </c>
      <c r="B2" s="10"/>
      <c r="C2" s="10"/>
      <c r="D2" s="7" t="s">
        <v>3</v>
      </c>
      <c r="E2" s="1"/>
      <c r="F2" s="1"/>
      <c r="G2" s="1"/>
      <c r="H2" s="1"/>
      <c r="I2" s="1"/>
    </row>
    <row r="3" spans="1:9" ht="12.75" customHeight="1" x14ac:dyDescent="0.3">
      <c r="A3" s="10"/>
      <c r="B3" s="10"/>
      <c r="C3" s="10"/>
      <c r="D3" s="7" t="s">
        <v>4</v>
      </c>
      <c r="E3" s="1"/>
      <c r="F3" s="1"/>
      <c r="G3" s="1"/>
      <c r="H3" s="1"/>
      <c r="I3" s="1"/>
    </row>
    <row r="4" spans="1:9" ht="12.75" customHeight="1" thickBot="1" x14ac:dyDescent="0.35">
      <c r="A4" s="8"/>
      <c r="B4" s="8"/>
      <c r="C4" s="11" t="s">
        <v>5</v>
      </c>
      <c r="D4" s="1"/>
      <c r="E4" s="1"/>
      <c r="F4" s="1"/>
      <c r="G4" s="1"/>
      <c r="H4" s="1"/>
      <c r="I4" s="1"/>
    </row>
    <row r="5" spans="1:9" ht="15.75" customHeight="1" thickTop="1" x14ac:dyDescent="0.3">
      <c r="A5" s="12" t="s">
        <v>7</v>
      </c>
      <c r="B5" s="13"/>
      <c r="C5" s="13"/>
      <c r="D5" s="12" t="s">
        <v>6</v>
      </c>
      <c r="E5" s="13"/>
      <c r="F5" s="13"/>
      <c r="G5" s="13"/>
      <c r="H5" s="13"/>
      <c r="I5" s="13"/>
    </row>
    <row r="6" spans="1:9" ht="30.75" customHeight="1" x14ac:dyDescent="0.3">
      <c r="A6" s="1"/>
      <c r="B6" s="1"/>
      <c r="C6" s="1"/>
      <c r="D6" s="14" t="s">
        <v>8</v>
      </c>
      <c r="E6" s="15"/>
      <c r="F6" s="15"/>
      <c r="G6" s="14" t="s">
        <v>9</v>
      </c>
      <c r="H6" s="15"/>
      <c r="I6" s="15"/>
    </row>
    <row r="7" spans="1:9" ht="12.75" customHeight="1" x14ac:dyDescent="0.3">
      <c r="A7" s="1"/>
      <c r="B7" s="1"/>
      <c r="C7" s="1"/>
      <c r="D7" s="16" t="s">
        <v>10</v>
      </c>
      <c r="E7" s="16" t="s">
        <v>11</v>
      </c>
      <c r="F7" s="16" t="s">
        <v>12</v>
      </c>
      <c r="G7" s="16" t="s">
        <v>10</v>
      </c>
      <c r="H7" s="16" t="s">
        <v>11</v>
      </c>
      <c r="I7" s="16" t="s">
        <v>12</v>
      </c>
    </row>
    <row r="8" spans="1:9" ht="18" customHeight="1" x14ac:dyDescent="0.25">
      <c r="A8" s="1"/>
      <c r="B8" s="1"/>
      <c r="C8" s="1"/>
      <c r="D8" s="17"/>
      <c r="E8" s="17" t="s">
        <v>13</v>
      </c>
      <c r="F8" s="17" t="s">
        <v>14</v>
      </c>
      <c r="G8" s="17"/>
      <c r="H8" s="17" t="s">
        <v>13</v>
      </c>
      <c r="I8" s="17" t="s">
        <v>14</v>
      </c>
    </row>
    <row r="9" spans="1:9" ht="21" customHeight="1" x14ac:dyDescent="0.25">
      <c r="A9" s="1"/>
      <c r="B9" s="1"/>
      <c r="C9" s="1"/>
      <c r="D9" s="18" t="s">
        <v>15</v>
      </c>
      <c r="E9" s="18" t="s">
        <v>15</v>
      </c>
      <c r="F9" s="18" t="s">
        <v>15</v>
      </c>
      <c r="G9" s="18" t="s">
        <v>15</v>
      </c>
      <c r="H9" s="18" t="s">
        <v>15</v>
      </c>
      <c r="I9" s="18" t="s">
        <v>15</v>
      </c>
    </row>
    <row r="10" spans="1:9" ht="14.4" x14ac:dyDescent="0.3">
      <c r="A10" s="19" t="s">
        <v>16</v>
      </c>
      <c r="B10" s="15"/>
      <c r="C10" s="15"/>
      <c r="D10" s="20" t="s">
        <v>17</v>
      </c>
      <c r="E10" s="20" t="s">
        <v>18</v>
      </c>
      <c r="F10" s="20" t="s">
        <v>19</v>
      </c>
      <c r="G10" s="20" t="s">
        <v>20</v>
      </c>
      <c r="H10" s="20" t="s">
        <v>21</v>
      </c>
      <c r="I10" s="20" t="s">
        <v>22</v>
      </c>
    </row>
    <row r="11" spans="1:9" ht="14.4" x14ac:dyDescent="0.3">
      <c r="A11" s="21" t="s">
        <v>23</v>
      </c>
      <c r="B11" s="22" t="s">
        <v>24</v>
      </c>
      <c r="C11" s="22"/>
      <c r="D11" s="23">
        <v>22074</v>
      </c>
      <c r="E11" s="24">
        <v>15452</v>
      </c>
      <c r="F11" s="24">
        <v>6622</v>
      </c>
      <c r="G11" s="25">
        <v>0</v>
      </c>
      <c r="H11" s="23">
        <v>0</v>
      </c>
      <c r="I11" s="24">
        <f t="shared" ref="I11:I14" si="0">G11-H11</f>
        <v>0</v>
      </c>
    </row>
    <row r="12" spans="1:9" ht="14.4" x14ac:dyDescent="0.3">
      <c r="A12" s="21" t="s">
        <v>25</v>
      </c>
      <c r="B12" s="22" t="s">
        <v>26</v>
      </c>
      <c r="C12" s="22"/>
      <c r="D12" s="23">
        <v>16736</v>
      </c>
      <c r="E12" s="24">
        <v>6192</v>
      </c>
      <c r="F12" s="24">
        <v>10544</v>
      </c>
      <c r="G12" s="25">
        <v>0</v>
      </c>
      <c r="H12" s="23">
        <v>0</v>
      </c>
      <c r="I12" s="24">
        <f t="shared" si="0"/>
        <v>0</v>
      </c>
    </row>
    <row r="13" spans="1:9" ht="14.4" x14ac:dyDescent="0.3">
      <c r="A13" s="21" t="s">
        <v>27</v>
      </c>
      <c r="B13" s="22" t="s">
        <v>28</v>
      </c>
      <c r="C13" s="22"/>
      <c r="D13" s="23">
        <v>61048</v>
      </c>
      <c r="E13" s="24">
        <v>28082</v>
      </c>
      <c r="F13" s="24">
        <v>32966</v>
      </c>
      <c r="G13" s="25">
        <v>0</v>
      </c>
      <c r="H13" s="23">
        <v>0</v>
      </c>
      <c r="I13" s="24">
        <f t="shared" si="0"/>
        <v>0</v>
      </c>
    </row>
    <row r="14" spans="1:9" ht="14.4" x14ac:dyDescent="0.3">
      <c r="A14" s="21" t="s">
        <v>29</v>
      </c>
      <c r="B14" s="22" t="s">
        <v>30</v>
      </c>
      <c r="C14" s="22"/>
      <c r="D14" s="26">
        <v>40552</v>
      </c>
      <c r="E14" s="24">
        <v>26764</v>
      </c>
      <c r="F14" s="24">
        <v>13788</v>
      </c>
      <c r="G14" s="25">
        <v>0</v>
      </c>
      <c r="H14" s="23">
        <v>0</v>
      </c>
      <c r="I14" s="24">
        <f t="shared" si="0"/>
        <v>0</v>
      </c>
    </row>
    <row r="15" spans="1:9" ht="14.4" x14ac:dyDescent="0.3">
      <c r="A15" s="21" t="s">
        <v>31</v>
      </c>
      <c r="B15" s="22" t="s">
        <v>32</v>
      </c>
      <c r="C15" s="22"/>
      <c r="D15" s="26">
        <v>11103</v>
      </c>
      <c r="E15" s="24">
        <v>6218</v>
      </c>
      <c r="F15" s="24">
        <v>4885</v>
      </c>
      <c r="G15" s="24">
        <v>156673</v>
      </c>
      <c r="H15" s="24">
        <v>47002</v>
      </c>
      <c r="I15" s="24">
        <v>109671</v>
      </c>
    </row>
    <row r="16" spans="1:9" ht="14.4" x14ac:dyDescent="0.3">
      <c r="A16" s="21" t="s">
        <v>33</v>
      </c>
      <c r="B16" s="22" t="s">
        <v>34</v>
      </c>
      <c r="C16" s="22"/>
      <c r="D16" s="26">
        <v>20988</v>
      </c>
      <c r="E16" s="24">
        <v>10074</v>
      </c>
      <c r="F16" s="24">
        <v>10914</v>
      </c>
      <c r="G16" s="8">
        <v>0</v>
      </c>
      <c r="H16" s="23">
        <v>0</v>
      </c>
      <c r="I16" s="24">
        <v>0</v>
      </c>
    </row>
    <row r="17" spans="1:9" ht="14.4" x14ac:dyDescent="0.3">
      <c r="A17" s="21" t="s">
        <v>35</v>
      </c>
      <c r="B17" s="22" t="s">
        <v>36</v>
      </c>
      <c r="C17" s="22"/>
      <c r="D17" s="26">
        <v>6564.9995696285196</v>
      </c>
      <c r="E17" s="24">
        <v>4333</v>
      </c>
      <c r="F17" s="24">
        <v>2231.99956962852</v>
      </c>
      <c r="G17" s="8">
        <v>0</v>
      </c>
      <c r="H17" s="23">
        <v>0</v>
      </c>
      <c r="I17" s="24">
        <v>0</v>
      </c>
    </row>
    <row r="18" spans="1:9" ht="14.4" x14ac:dyDescent="0.3">
      <c r="A18" s="21" t="s">
        <v>37</v>
      </c>
      <c r="B18" s="22" t="s">
        <v>38</v>
      </c>
      <c r="C18" s="22"/>
      <c r="D18" s="26">
        <v>9359</v>
      </c>
      <c r="E18" s="24">
        <v>3463</v>
      </c>
      <c r="F18" s="24">
        <v>5896</v>
      </c>
      <c r="G18" s="8">
        <v>0</v>
      </c>
      <c r="H18" s="23">
        <v>0</v>
      </c>
      <c r="I18" s="24">
        <v>0</v>
      </c>
    </row>
    <row r="19" spans="1:9" ht="14.4" x14ac:dyDescent="0.3">
      <c r="A19" s="21" t="s">
        <v>39</v>
      </c>
      <c r="B19" s="22" t="s">
        <v>40</v>
      </c>
      <c r="C19" s="22"/>
      <c r="D19" s="26">
        <v>9918</v>
      </c>
      <c r="E19" s="24">
        <v>9918</v>
      </c>
      <c r="F19" s="24">
        <v>0</v>
      </c>
      <c r="G19" s="8">
        <v>0</v>
      </c>
      <c r="H19" s="23">
        <v>0</v>
      </c>
      <c r="I19" s="24">
        <v>0</v>
      </c>
    </row>
    <row r="20" spans="1:9" ht="14.4" x14ac:dyDescent="0.3">
      <c r="A20" s="21" t="s">
        <v>41</v>
      </c>
      <c r="B20" s="22" t="s">
        <v>42</v>
      </c>
      <c r="C20" s="22"/>
      <c r="D20" s="26">
        <v>17743</v>
      </c>
      <c r="E20" s="24">
        <v>17743</v>
      </c>
      <c r="F20" s="24">
        <v>0</v>
      </c>
      <c r="G20" s="8">
        <v>0</v>
      </c>
      <c r="H20" s="23">
        <v>0</v>
      </c>
      <c r="I20" s="24">
        <v>0</v>
      </c>
    </row>
    <row r="21" spans="1:9" ht="14.4" x14ac:dyDescent="0.3">
      <c r="A21" s="27" t="s">
        <v>43</v>
      </c>
      <c r="B21" s="22" t="s">
        <v>44</v>
      </c>
      <c r="C21" s="22"/>
      <c r="D21" s="26">
        <v>49649</v>
      </c>
      <c r="E21" s="24">
        <v>16846</v>
      </c>
      <c r="F21" s="24">
        <v>32803</v>
      </c>
      <c r="G21" s="28">
        <v>304129</v>
      </c>
      <c r="H21" s="24">
        <v>91239</v>
      </c>
      <c r="I21" s="24">
        <v>212890</v>
      </c>
    </row>
    <row r="22" spans="1:9" ht="14.4" x14ac:dyDescent="0.3">
      <c r="A22" s="27" t="s">
        <v>45</v>
      </c>
      <c r="B22" s="22" t="s">
        <v>46</v>
      </c>
      <c r="C22" s="22"/>
      <c r="D22" s="26">
        <v>33625</v>
      </c>
      <c r="E22" s="24">
        <v>18183</v>
      </c>
      <c r="F22" s="24">
        <v>15442</v>
      </c>
      <c r="G22" s="8">
        <v>0</v>
      </c>
      <c r="H22" s="23">
        <v>0</v>
      </c>
      <c r="I22" s="24">
        <f t="shared" ref="I22:I30" si="1">G22-H22</f>
        <v>0</v>
      </c>
    </row>
    <row r="23" spans="1:9" ht="14.4" x14ac:dyDescent="0.3">
      <c r="A23" s="27" t="s">
        <v>47</v>
      </c>
      <c r="B23" s="22" t="s">
        <v>48</v>
      </c>
      <c r="C23" s="22"/>
      <c r="D23" s="26">
        <v>13185</v>
      </c>
      <c r="E23" s="24">
        <v>10066</v>
      </c>
      <c r="F23" s="24">
        <v>3119</v>
      </c>
      <c r="G23" s="8">
        <v>0</v>
      </c>
      <c r="H23" s="23">
        <v>0</v>
      </c>
      <c r="I23" s="24">
        <f t="shared" si="1"/>
        <v>0</v>
      </c>
    </row>
    <row r="24" spans="1:9" ht="14.4" x14ac:dyDescent="0.3">
      <c r="A24" s="27" t="s">
        <v>49</v>
      </c>
      <c r="B24" s="22" t="s">
        <v>50</v>
      </c>
      <c r="C24" s="22"/>
      <c r="D24" s="26">
        <v>6147</v>
      </c>
      <c r="E24" s="24">
        <v>3063</v>
      </c>
      <c r="F24" s="24">
        <v>3084</v>
      </c>
      <c r="G24" s="8">
        <v>0</v>
      </c>
      <c r="H24" s="23">
        <v>0</v>
      </c>
      <c r="I24" s="24">
        <f t="shared" si="1"/>
        <v>0</v>
      </c>
    </row>
    <row r="25" spans="1:9" ht="14.4" x14ac:dyDescent="0.3">
      <c r="A25" s="27" t="s">
        <v>51</v>
      </c>
      <c r="B25" s="22" t="s">
        <v>52</v>
      </c>
      <c r="C25" s="22"/>
      <c r="D25" s="26">
        <v>7135</v>
      </c>
      <c r="E25" s="24">
        <v>6203</v>
      </c>
      <c r="F25" s="24">
        <v>932</v>
      </c>
      <c r="G25" s="8">
        <v>0</v>
      </c>
      <c r="H25" s="23">
        <v>0</v>
      </c>
      <c r="I25" s="24">
        <f t="shared" si="1"/>
        <v>0</v>
      </c>
    </row>
    <row r="26" spans="1:9" ht="14.4" x14ac:dyDescent="0.3">
      <c r="A26" s="27" t="s">
        <v>53</v>
      </c>
      <c r="B26" s="22" t="s">
        <v>54</v>
      </c>
      <c r="C26" s="22"/>
      <c r="D26" s="26">
        <v>3278</v>
      </c>
      <c r="E26" s="24">
        <v>3278</v>
      </c>
      <c r="F26" s="24">
        <v>0</v>
      </c>
      <c r="G26" s="8">
        <v>0</v>
      </c>
      <c r="H26" s="23">
        <v>0</v>
      </c>
      <c r="I26" s="24">
        <f t="shared" si="1"/>
        <v>0</v>
      </c>
    </row>
    <row r="27" spans="1:9" ht="14.4" x14ac:dyDescent="0.3">
      <c r="A27" s="27" t="s">
        <v>55</v>
      </c>
      <c r="B27" s="22" t="s">
        <v>56</v>
      </c>
      <c r="C27" s="22"/>
      <c r="D27" s="26">
        <v>1569</v>
      </c>
      <c r="E27" s="24">
        <v>1569</v>
      </c>
      <c r="F27" s="24">
        <v>0</v>
      </c>
      <c r="G27" s="8">
        <v>0</v>
      </c>
      <c r="H27" s="23">
        <v>0</v>
      </c>
      <c r="I27" s="24">
        <f t="shared" si="1"/>
        <v>0</v>
      </c>
    </row>
    <row r="28" spans="1:9" ht="14.4" x14ac:dyDescent="0.3">
      <c r="A28" s="27" t="s">
        <v>57</v>
      </c>
      <c r="B28" s="22" t="s">
        <v>58</v>
      </c>
      <c r="C28" s="22"/>
      <c r="D28" s="26">
        <v>10565</v>
      </c>
      <c r="E28" s="24">
        <v>7393</v>
      </c>
      <c r="F28" s="24">
        <v>3172</v>
      </c>
      <c r="G28" s="8">
        <v>0</v>
      </c>
      <c r="H28" s="23">
        <v>0</v>
      </c>
      <c r="I28" s="24">
        <f t="shared" si="1"/>
        <v>0</v>
      </c>
    </row>
    <row r="29" spans="1:9" ht="14.4" x14ac:dyDescent="0.3">
      <c r="A29" s="27" t="s">
        <v>59</v>
      </c>
      <c r="B29" s="22" t="s">
        <v>60</v>
      </c>
      <c r="C29" s="22"/>
      <c r="D29" s="26">
        <v>11957</v>
      </c>
      <c r="E29" s="24">
        <v>8875</v>
      </c>
      <c r="F29" s="24">
        <v>3082</v>
      </c>
      <c r="G29" s="8">
        <v>0</v>
      </c>
      <c r="H29" s="23">
        <v>0</v>
      </c>
      <c r="I29" s="24">
        <f t="shared" si="1"/>
        <v>0</v>
      </c>
    </row>
    <row r="30" spans="1:9" ht="14.4" x14ac:dyDescent="0.3">
      <c r="A30" s="27" t="s">
        <v>61</v>
      </c>
      <c r="B30" s="22" t="s">
        <v>62</v>
      </c>
      <c r="C30" s="22"/>
      <c r="D30" s="26">
        <v>6838</v>
      </c>
      <c r="E30" s="24">
        <v>6838</v>
      </c>
      <c r="F30" s="24">
        <v>0</v>
      </c>
      <c r="G30" s="8">
        <v>0</v>
      </c>
      <c r="H30" s="23">
        <v>0</v>
      </c>
      <c r="I30" s="24">
        <f t="shared" si="1"/>
        <v>0</v>
      </c>
    </row>
    <row r="31" spans="1:9" ht="14.4" x14ac:dyDescent="0.3">
      <c r="A31" s="29" t="s">
        <v>63</v>
      </c>
      <c r="B31" s="15"/>
      <c r="C31" s="15"/>
      <c r="D31" s="30">
        <f t="shared" ref="D31:I31" si="2">SUM(D11:D30)</f>
        <v>360033.9995696285</v>
      </c>
      <c r="E31" s="30">
        <f t="shared" si="2"/>
        <v>210553</v>
      </c>
      <c r="F31" s="30">
        <f t="shared" si="2"/>
        <v>149480.9995696285</v>
      </c>
      <c r="G31" s="30">
        <f t="shared" si="2"/>
        <v>460802</v>
      </c>
      <c r="H31" s="30">
        <f t="shared" si="2"/>
        <v>138241</v>
      </c>
      <c r="I31" s="30">
        <f t="shared" si="2"/>
        <v>322561</v>
      </c>
    </row>
    <row r="32" spans="1:9" ht="14.4" x14ac:dyDescent="0.3">
      <c r="A32" s="31"/>
      <c r="B32" s="32" t="s">
        <v>66</v>
      </c>
      <c r="C32" s="33"/>
      <c r="D32" s="34">
        <v>598330</v>
      </c>
      <c r="E32" s="34">
        <v>350279</v>
      </c>
      <c r="F32" s="34">
        <v>248051</v>
      </c>
      <c r="G32" s="34">
        <v>650646</v>
      </c>
      <c r="H32" s="34">
        <v>195194</v>
      </c>
      <c r="I32" s="34">
        <v>455452</v>
      </c>
    </row>
    <row r="33" spans="1:9" ht="14.4" x14ac:dyDescent="0.25">
      <c r="A33" s="27"/>
      <c r="B33" s="35" t="s">
        <v>65</v>
      </c>
      <c r="C33" s="1"/>
      <c r="D33" s="22">
        <v>634421</v>
      </c>
      <c r="E33" s="22">
        <v>363941</v>
      </c>
      <c r="F33" s="22">
        <v>270479</v>
      </c>
      <c r="G33" s="22">
        <v>745814</v>
      </c>
      <c r="H33" s="22">
        <v>223744</v>
      </c>
      <c r="I33" s="22">
        <v>522070</v>
      </c>
    </row>
    <row r="34" spans="1:9" ht="14.4" x14ac:dyDescent="0.25">
      <c r="A34" s="27"/>
      <c r="B34" s="35" t="s">
        <v>64</v>
      </c>
      <c r="C34" s="1"/>
      <c r="D34" s="22">
        <v>570516.30000000005</v>
      </c>
      <c r="E34" s="22">
        <v>327280</v>
      </c>
      <c r="F34" s="22">
        <v>243235</v>
      </c>
      <c r="G34" s="22">
        <v>677565</v>
      </c>
      <c r="H34" s="22">
        <v>203270</v>
      </c>
      <c r="I34" s="22">
        <v>474295</v>
      </c>
    </row>
    <row r="35" spans="1:9" ht="15" thickBot="1" x14ac:dyDescent="0.35">
      <c r="A35" s="36"/>
      <c r="B35" s="37" t="s">
        <v>67</v>
      </c>
      <c r="C35" s="38"/>
      <c r="D35" s="39">
        <v>519807.9</v>
      </c>
      <c r="E35" s="39">
        <v>298191.81654663099</v>
      </c>
      <c r="F35" s="39">
        <v>221616.08345337</v>
      </c>
      <c r="G35" s="39">
        <v>617454</v>
      </c>
      <c r="H35" s="39">
        <v>185236.2</v>
      </c>
      <c r="I35" s="39">
        <v>432217.8</v>
      </c>
    </row>
    <row r="36" spans="1:9" ht="15" thickTop="1" x14ac:dyDescent="0.3">
      <c r="A36" s="40" t="s">
        <v>68</v>
      </c>
      <c r="B36" s="1"/>
      <c r="C36" s="1"/>
      <c r="D36" s="1"/>
      <c r="E36" s="1"/>
      <c r="F36" s="1"/>
      <c r="G36" s="1"/>
      <c r="H36" s="1"/>
      <c r="I36" s="1"/>
    </row>
    <row r="37" spans="1:9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 x14ac:dyDescent="0.3">
      <c r="A39" s="41"/>
      <c r="B39" s="2"/>
      <c r="C39" s="2"/>
      <c r="D39" s="2"/>
      <c r="E39" s="2"/>
      <c r="F39" s="2"/>
      <c r="G39" s="2"/>
      <c r="H39" s="2"/>
      <c r="I39" s="2"/>
    </row>
    <row r="40" spans="1:9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6">
    <mergeCell ref="A36:I36"/>
    <mergeCell ref="B35:C35"/>
    <mergeCell ref="B34:C34"/>
    <mergeCell ref="B33:C33"/>
    <mergeCell ref="A31:C31"/>
    <mergeCell ref="B32:C32"/>
    <mergeCell ref="A10:C10"/>
    <mergeCell ref="A5:C9"/>
    <mergeCell ref="D5:I5"/>
    <mergeCell ref="D6:F6"/>
    <mergeCell ref="G6:I6"/>
    <mergeCell ref="C4:I4"/>
    <mergeCell ref="D3:I3"/>
    <mergeCell ref="D2:I2"/>
    <mergeCell ref="A1:B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2025-07-14T07:43:11Z</dcterms:created>
  <dcterms:modified xsi:type="dcterms:W3CDTF">2025-07-14T07:43:27Z</dcterms:modified>
</cp:coreProperties>
</file>