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ABE6844A-6601-4548-9B9B-11D4A920C6F6}" xr6:coauthVersionLast="47" xr6:coauthVersionMax="47" xr10:uidLastSave="{00000000-0000-0000-0000-000000000000}"/>
  <bookViews>
    <workbookView xWindow="-108" yWindow="-108" windowWidth="23256" windowHeight="13896" xr2:uid="{AC5E8070-3F2C-462A-8913-517440C34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" l="1"/>
  <c r="D25" i="1"/>
  <c r="J24" i="1"/>
  <c r="H24" i="1"/>
  <c r="G24" i="1"/>
  <c r="F24" i="1"/>
  <c r="E24" i="1"/>
  <c r="D24" i="1"/>
  <c r="J23" i="1"/>
  <c r="H23" i="1"/>
  <c r="F23" i="1"/>
  <c r="E23" i="1"/>
  <c r="D23" i="1"/>
  <c r="F22" i="1"/>
  <c r="E22" i="1"/>
  <c r="J21" i="1"/>
  <c r="H21" i="1"/>
  <c r="G21" i="1"/>
  <c r="F21" i="1"/>
  <c r="E21" i="1"/>
  <c r="E26" i="1" s="1"/>
  <c r="D21" i="1"/>
  <c r="J20" i="1"/>
  <c r="I20" i="1"/>
  <c r="I26" i="1" s="1"/>
  <c r="H20" i="1"/>
  <c r="G20" i="1"/>
  <c r="F20" i="1"/>
  <c r="D20" i="1"/>
  <c r="J19" i="1"/>
  <c r="H19" i="1"/>
  <c r="G19" i="1"/>
  <c r="F19" i="1"/>
  <c r="D19" i="1"/>
  <c r="J18" i="1"/>
  <c r="D18" i="1"/>
  <c r="J17" i="1"/>
  <c r="G17" i="1"/>
  <c r="D17" i="1"/>
  <c r="J16" i="1"/>
  <c r="H16" i="1"/>
  <c r="J15" i="1"/>
  <c r="J14" i="1"/>
  <c r="D14" i="1"/>
  <c r="J13" i="1"/>
  <c r="D13" i="1"/>
  <c r="J12" i="1"/>
  <c r="D12" i="1"/>
  <c r="J10" i="1"/>
  <c r="H10" i="1"/>
  <c r="D10" i="1"/>
  <c r="J9" i="1"/>
  <c r="H9" i="1"/>
  <c r="D9" i="1"/>
  <c r="C9" i="1"/>
  <c r="J8" i="1"/>
  <c r="D8" i="1"/>
  <c r="C8" i="1"/>
  <c r="C26" i="1" s="1"/>
  <c r="J26" i="1" l="1"/>
  <c r="G26" i="1"/>
  <c r="D26" i="1"/>
  <c r="H26" i="1"/>
  <c r="F26" i="1"/>
</calcChain>
</file>

<file path=xl/sharedStrings.xml><?xml version="1.0" encoding="utf-8"?>
<sst xmlns="http://schemas.openxmlformats.org/spreadsheetml/2006/main" count="35" uniqueCount="35">
  <si>
    <t>Tabel 5.2.2</t>
  </si>
  <si>
    <t>Bawang Merah</t>
  </si>
  <si>
    <t>Cabai Besar</t>
  </si>
  <si>
    <t>Kentang</t>
  </si>
  <si>
    <t>Kubis</t>
  </si>
  <si>
    <t>Petsai</t>
  </si>
  <si>
    <t>Tomat</t>
  </si>
  <si>
    <t>Bawang Putih</t>
  </si>
  <si>
    <t>Cabai Rawit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</si>
  <si>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</si>
  <si>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</si>
  <si>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</si>
  <si>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</si>
  <si>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</si>
  <si>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</si>
  <si>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</si>
  <si>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</si>
  <si>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</si>
  <si>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</si>
  <si>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</si>
  <si>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</si>
  <si>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</si>
  <si>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</si>
  <si>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</si>
  <si>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</si>
  <si>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</si>
  <si>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</si>
  <si>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</si>
  <si>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</si>
  <si>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</si>
  <si>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</si>
  <si>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</si>
  <si>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</si>
  <si>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</si>
  <si>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 xml:space="preserve"> Produksi Tanaman Sayuran Menurut Kecamatan dan Jenis Tanaman (ton),2021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</si>
</sst>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0" applyFont="1"/>
    <xf numFmtId="0" fontId="0" fillId="0" borderId="0" xfId="1" applyFont="1"/>
    <xf numFmtId="0" fontId="3" fillId="2" borderId="0" xfId="1" applyFont="1" applyFill="1"/>
    <xf numFmtId="0" fontId="3" fillId="0" borderId="0" xfId="1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1" applyFont="1" applyBorder="1" applyAlignment="1">
      <alignment horizontal="center" vertical="center" wrapText="1"/>
    </xf>
    <xf numFmtId="0" fontId="4" fillId="0" borderId="3" xfId="1" applyFont="1" applyBorder="1"/>
    <xf numFmtId="0" fontId="3" fillId="0" borderId="4" xfId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4" fontId="6" fillId="0" borderId="5" xfId="1" applyNumberFormat="1" applyFont="1" applyBorder="1" applyAlignment="1">
      <alignment horizontal="center"/>
    </xf>
    <xf numFmtId="165" fontId="5" fillId="0" borderId="2" xfId="1" applyNumberFormat="1" applyFont="1" applyBorder="1"/>
    <xf numFmtId="0" fontId="5" fillId="0" borderId="3" xfId="1" applyFont="1" applyBorder="1"/>
    <xf numFmtId="4" fontId="5" fillId="0" borderId="5" xfId="1" applyNumberFormat="1" applyFont="1" applyBorder="1" applyAlignment="1">
      <alignment horizontal="right"/>
    </xf>
    <xf numFmtId="4" fontId="5" fillId="0" borderId="5" xfId="1" applyNumberFormat="1" applyFont="1" applyBorder="1"/>
    <xf numFmtId="4" fontId="6" fillId="0" borderId="5" xfId="1" applyNumberFormat="1" applyFont="1" applyBorder="1"/>
    <xf numFmtId="0" fontId="3" fillId="0" borderId="2" xfId="1" applyFont="1" applyBorder="1" applyAlignment="1">
      <alignment horizontal="center"/>
    </xf>
    <xf numFmtId="4" fontId="3" fillId="0" borderId="5" xfId="1" applyNumberFormat="1" applyFont="1" applyBorder="1"/>
    <xf numFmtId="0" fontId="6" fillId="0" borderId="0" xfId="1" applyFont="1"/>
    <xf numFmtId="0" fontId="5" fillId="0" borderId="0" xfId="1" applyFont="1"/>
  </cellXfs>
  <cellStyles count="2">
    <cellStyle name="Normal" xfId="0" builtinId="0"/>
    <cellStyle name="Normal 2" xfId="1" xr:uid="{13279A7A-24A8-437B-A877-D8EBAC7993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929C-9BEE-4B3B-818B-466E279DE450}">
  <dimension ref="A1:J31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4" customWidth="1"/>
    <col min="2" max="2" width="19.44140625" style="4" customWidth="1"/>
    <col min="3" max="4" width="9.77734375" style="4" customWidth="1"/>
    <col min="5" max="5" width="11.21875" style="4" customWidth="1"/>
    <col min="6" max="9" width="9.77734375" style="4" customWidth="1"/>
    <col min="10" max="10" width="10.21875" style="4" customWidth="1"/>
    <col min="11" max="16384" width="14.44140625" style="4"/>
  </cols>
  <sheetData>
    <row r="1" spans="1:10" x14ac:dyDescent="0.3">
      <c r="A1" s="1" t="s">
        <v>0</v>
      </c>
      <c r="B1" s="2"/>
      <c r="C1" s="3" t="s">
        <v>34</v>
      </c>
      <c r="D1" s="2"/>
      <c r="E1" s="2"/>
      <c r="F1" s="2"/>
      <c r="G1" s="2"/>
      <c r="H1" s="2"/>
      <c r="I1" s="2"/>
      <c r="J1" s="2"/>
    </row>
    <row r="2" spans="1:10" x14ac:dyDescent="0.3">
      <c r="A2" s="5"/>
      <c r="B2" s="5"/>
      <c r="C2" s="2"/>
      <c r="D2" s="2"/>
      <c r="E2" s="2"/>
      <c r="F2" s="2"/>
      <c r="G2" s="2"/>
      <c r="H2" s="2"/>
      <c r="I2" s="2"/>
      <c r="J2" s="2"/>
    </row>
    <row r="3" spans="1:10" ht="30" customHeight="1" x14ac:dyDescent="0.3">
      <c r="A3" s="6"/>
      <c r="B3" s="6"/>
      <c r="C3" s="7" t="s">
        <v>1</v>
      </c>
      <c r="D3" s="8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8" t="s">
        <v>8</v>
      </c>
    </row>
    <row r="4" spans="1:10" x14ac:dyDescent="0.3">
      <c r="A4" s="9" t="s">
        <v>9</v>
      </c>
      <c r="B4" s="10"/>
      <c r="C4" s="11">
        <v>2021</v>
      </c>
      <c r="D4" s="11">
        <v>2021</v>
      </c>
      <c r="E4" s="11">
        <v>2021</v>
      </c>
      <c r="F4" s="11">
        <v>2021</v>
      </c>
      <c r="G4" s="11">
        <v>2021</v>
      </c>
      <c r="H4" s="11">
        <v>2021</v>
      </c>
      <c r="I4" s="11">
        <v>2021</v>
      </c>
      <c r="J4" s="11">
        <v>2021</v>
      </c>
    </row>
    <row r="5" spans="1:10" x14ac:dyDescent="0.3">
      <c r="A5" s="12">
        <v>1</v>
      </c>
      <c r="B5" s="10"/>
      <c r="C5" s="13">
        <v>4</v>
      </c>
      <c r="D5" s="13">
        <v>7</v>
      </c>
      <c r="E5" s="13">
        <v>10</v>
      </c>
      <c r="F5" s="13">
        <v>13</v>
      </c>
      <c r="G5" s="13">
        <v>16</v>
      </c>
      <c r="H5" s="13">
        <v>19</v>
      </c>
      <c r="I5" s="13">
        <v>22</v>
      </c>
      <c r="J5" s="14">
        <v>25</v>
      </c>
    </row>
    <row r="6" spans="1:10" x14ac:dyDescent="0.3">
      <c r="A6" s="15">
        <v>1</v>
      </c>
      <c r="B6" s="16" t="s">
        <v>10</v>
      </c>
      <c r="C6" s="17">
        <v>0</v>
      </c>
      <c r="D6" s="17">
        <v>0</v>
      </c>
      <c r="E6" s="18">
        <v>0</v>
      </c>
      <c r="F6" s="18">
        <v>0</v>
      </c>
      <c r="G6" s="19">
        <v>0</v>
      </c>
      <c r="H6" s="18">
        <v>0</v>
      </c>
      <c r="I6" s="19">
        <v>0</v>
      </c>
      <c r="J6" s="19">
        <v>0</v>
      </c>
    </row>
    <row r="7" spans="1:10" x14ac:dyDescent="0.3">
      <c r="A7" s="15">
        <v>2</v>
      </c>
      <c r="B7" s="16" t="s">
        <v>11</v>
      </c>
      <c r="C7" s="17">
        <v>0</v>
      </c>
      <c r="D7" s="17">
        <v>0</v>
      </c>
      <c r="E7" s="18">
        <v>0</v>
      </c>
      <c r="F7" s="18">
        <v>0</v>
      </c>
      <c r="G7" s="19">
        <v>0</v>
      </c>
      <c r="H7" s="18">
        <v>0</v>
      </c>
      <c r="I7" s="19">
        <v>0</v>
      </c>
      <c r="J7" s="19">
        <v>0</v>
      </c>
    </row>
    <row r="8" spans="1:10" x14ac:dyDescent="0.3">
      <c r="A8" s="15">
        <v>3</v>
      </c>
      <c r="B8" s="16" t="s">
        <v>12</v>
      </c>
      <c r="C8" s="17">
        <f>423/10</f>
        <v>42.3</v>
      </c>
      <c r="D8" s="17">
        <f>609/10</f>
        <v>60.9</v>
      </c>
      <c r="E8" s="18">
        <v>0</v>
      </c>
      <c r="F8" s="18">
        <v>0</v>
      </c>
      <c r="G8" s="19">
        <v>0</v>
      </c>
      <c r="H8" s="18">
        <v>0</v>
      </c>
      <c r="I8" s="19">
        <v>0</v>
      </c>
      <c r="J8" s="19">
        <f>602/10</f>
        <v>60.2</v>
      </c>
    </row>
    <row r="9" spans="1:10" x14ac:dyDescent="0.3">
      <c r="A9" s="15">
        <v>4</v>
      </c>
      <c r="B9" s="16" t="s">
        <v>13</v>
      </c>
      <c r="C9" s="17">
        <f>450/10</f>
        <v>45</v>
      </c>
      <c r="D9" s="17">
        <f>47649/10</f>
        <v>4764.8999999999996</v>
      </c>
      <c r="E9" s="18">
        <v>0</v>
      </c>
      <c r="F9" s="18">
        <v>0</v>
      </c>
      <c r="G9" s="19">
        <v>0</v>
      </c>
      <c r="H9" s="18">
        <f>5338/10</f>
        <v>533.79999999999995</v>
      </c>
      <c r="I9" s="19">
        <v>0</v>
      </c>
      <c r="J9" s="19">
        <f>1891/10</f>
        <v>189.1</v>
      </c>
    </row>
    <row r="10" spans="1:10" x14ac:dyDescent="0.3">
      <c r="A10" s="15">
        <v>5</v>
      </c>
      <c r="B10" s="16" t="s">
        <v>14</v>
      </c>
      <c r="C10" s="17">
        <v>0</v>
      </c>
      <c r="D10" s="17">
        <f>1600/10</f>
        <v>160</v>
      </c>
      <c r="E10" s="18">
        <v>0</v>
      </c>
      <c r="F10" s="18">
        <v>0</v>
      </c>
      <c r="G10" s="19">
        <v>0</v>
      </c>
      <c r="H10" s="18">
        <f>3898/10</f>
        <v>389.8</v>
      </c>
      <c r="I10" s="19">
        <v>0</v>
      </c>
      <c r="J10" s="19">
        <f>496/10</f>
        <v>49.6</v>
      </c>
    </row>
    <row r="11" spans="1:10" x14ac:dyDescent="0.3">
      <c r="A11" s="15">
        <v>6</v>
      </c>
      <c r="B11" s="16" t="s">
        <v>15</v>
      </c>
      <c r="C11" s="17">
        <v>0</v>
      </c>
      <c r="D11" s="17">
        <v>0</v>
      </c>
      <c r="E11" s="18">
        <v>0</v>
      </c>
      <c r="F11" s="18">
        <v>0</v>
      </c>
      <c r="G11" s="19">
        <v>0</v>
      </c>
      <c r="H11" s="18">
        <v>0</v>
      </c>
      <c r="I11" s="19">
        <v>0</v>
      </c>
      <c r="J11" s="19">
        <v>0</v>
      </c>
    </row>
    <row r="12" spans="1:10" x14ac:dyDescent="0.3">
      <c r="A12" s="15">
        <v>7</v>
      </c>
      <c r="B12" s="16" t="s">
        <v>16</v>
      </c>
      <c r="C12" s="17">
        <v>0</v>
      </c>
      <c r="D12" s="17">
        <f>1002/10</f>
        <v>100.2</v>
      </c>
      <c r="E12" s="18">
        <v>0</v>
      </c>
      <c r="F12" s="18">
        <v>0</v>
      </c>
      <c r="G12" s="19">
        <v>0</v>
      </c>
      <c r="H12" s="18">
        <v>0</v>
      </c>
      <c r="I12" s="19">
        <v>0</v>
      </c>
      <c r="J12" s="19">
        <f>6580/10</f>
        <v>658</v>
      </c>
    </row>
    <row r="13" spans="1:10" x14ac:dyDescent="0.3">
      <c r="A13" s="15">
        <v>8</v>
      </c>
      <c r="B13" s="16" t="s">
        <v>17</v>
      </c>
      <c r="C13" s="17">
        <v>0</v>
      </c>
      <c r="D13" s="17">
        <f>100/10</f>
        <v>10</v>
      </c>
      <c r="E13" s="18">
        <v>0</v>
      </c>
      <c r="F13" s="18">
        <v>0</v>
      </c>
      <c r="G13" s="19">
        <v>0</v>
      </c>
      <c r="H13" s="18">
        <v>0</v>
      </c>
      <c r="I13" s="19">
        <v>0</v>
      </c>
      <c r="J13" s="19">
        <f>50/10</f>
        <v>5</v>
      </c>
    </row>
    <row r="14" spans="1:10" x14ac:dyDescent="0.3">
      <c r="A14" s="15">
        <v>9</v>
      </c>
      <c r="B14" s="16" t="s">
        <v>18</v>
      </c>
      <c r="C14" s="17">
        <v>0</v>
      </c>
      <c r="D14" s="17">
        <f>65/10</f>
        <v>6.5</v>
      </c>
      <c r="E14" s="18">
        <v>0</v>
      </c>
      <c r="F14" s="18">
        <v>0</v>
      </c>
      <c r="G14" s="19">
        <v>0</v>
      </c>
      <c r="H14" s="18">
        <v>0</v>
      </c>
      <c r="I14" s="19">
        <v>0</v>
      </c>
      <c r="J14" s="19">
        <f>49/10</f>
        <v>4.9000000000000004</v>
      </c>
    </row>
    <row r="15" spans="1:10" x14ac:dyDescent="0.3">
      <c r="A15" s="15">
        <v>10</v>
      </c>
      <c r="B15" s="16" t="s">
        <v>19</v>
      </c>
      <c r="C15" s="17">
        <v>0</v>
      </c>
      <c r="D15" s="17">
        <v>0</v>
      </c>
      <c r="E15" s="18">
        <v>0</v>
      </c>
      <c r="F15" s="18">
        <v>0</v>
      </c>
      <c r="G15" s="19">
        <v>0</v>
      </c>
      <c r="H15" s="18">
        <v>0</v>
      </c>
      <c r="I15" s="19">
        <v>0</v>
      </c>
      <c r="J15" s="19">
        <f>191/10</f>
        <v>19.100000000000001</v>
      </c>
    </row>
    <row r="16" spans="1:10" x14ac:dyDescent="0.3">
      <c r="A16" s="15">
        <v>11</v>
      </c>
      <c r="B16" s="16" t="s">
        <v>20</v>
      </c>
      <c r="C16" s="17">
        <v>0</v>
      </c>
      <c r="D16" s="17">
        <v>0</v>
      </c>
      <c r="E16" s="18">
        <v>0</v>
      </c>
      <c r="F16" s="18">
        <v>0</v>
      </c>
      <c r="G16" s="19">
        <v>0</v>
      </c>
      <c r="H16" s="18">
        <f>401/10</f>
        <v>40.1</v>
      </c>
      <c r="I16" s="19">
        <v>0</v>
      </c>
      <c r="J16" s="19">
        <f>148/10</f>
        <v>14.8</v>
      </c>
    </row>
    <row r="17" spans="1:10" x14ac:dyDescent="0.3">
      <c r="A17" s="15">
        <v>12</v>
      </c>
      <c r="B17" s="16" t="s">
        <v>21</v>
      </c>
      <c r="C17" s="17">
        <v>0</v>
      </c>
      <c r="D17" s="17">
        <f>514/10</f>
        <v>51.4</v>
      </c>
      <c r="E17" s="18">
        <v>0</v>
      </c>
      <c r="F17" s="18">
        <v>0</v>
      </c>
      <c r="G17" s="19">
        <f>1/10</f>
        <v>0.1</v>
      </c>
      <c r="H17" s="18">
        <v>0</v>
      </c>
      <c r="I17" s="19">
        <v>0</v>
      </c>
      <c r="J17" s="19">
        <f>79/10</f>
        <v>7.9</v>
      </c>
    </row>
    <row r="18" spans="1:10" x14ac:dyDescent="0.3">
      <c r="A18" s="15">
        <v>13</v>
      </c>
      <c r="B18" s="16" t="s">
        <v>22</v>
      </c>
      <c r="C18" s="17">
        <v>0</v>
      </c>
      <c r="D18" s="17">
        <f>14/10</f>
        <v>1.4</v>
      </c>
      <c r="E18" s="18">
        <v>0</v>
      </c>
      <c r="F18" s="18">
        <v>0</v>
      </c>
      <c r="G18" s="19">
        <v>0</v>
      </c>
      <c r="H18" s="18">
        <v>0</v>
      </c>
      <c r="I18" s="19">
        <v>0</v>
      </c>
      <c r="J18" s="19">
        <f>22/10</f>
        <v>2.2000000000000002</v>
      </c>
    </row>
    <row r="19" spans="1:10" x14ac:dyDescent="0.3">
      <c r="A19" s="15">
        <v>14</v>
      </c>
      <c r="B19" s="16" t="s">
        <v>23</v>
      </c>
      <c r="C19" s="17">
        <v>0</v>
      </c>
      <c r="D19" s="17">
        <f>2100/10</f>
        <v>210</v>
      </c>
      <c r="E19" s="18">
        <v>0</v>
      </c>
      <c r="F19" s="19">
        <f>16050/10</f>
        <v>1605</v>
      </c>
      <c r="G19" s="19">
        <f>1480/10</f>
        <v>148</v>
      </c>
      <c r="H19" s="18">
        <f>4800/10</f>
        <v>480</v>
      </c>
      <c r="I19" s="19">
        <v>0</v>
      </c>
      <c r="J19" s="19">
        <f>2120/10</f>
        <v>212</v>
      </c>
    </row>
    <row r="20" spans="1:10" x14ac:dyDescent="0.3">
      <c r="A20" s="15">
        <v>15</v>
      </c>
      <c r="B20" s="16" t="s">
        <v>24</v>
      </c>
      <c r="C20" s="17">
        <v>0</v>
      </c>
      <c r="D20" s="17">
        <f>53321/10</f>
        <v>5332.1</v>
      </c>
      <c r="E20" s="18">
        <v>0</v>
      </c>
      <c r="F20" s="19">
        <f>26550/10</f>
        <v>2655</v>
      </c>
      <c r="G20" s="19">
        <f>4200/10</f>
        <v>420</v>
      </c>
      <c r="H20" s="18">
        <f>2358/10</f>
        <v>235.8</v>
      </c>
      <c r="I20" s="19">
        <f>2880/10</f>
        <v>288</v>
      </c>
      <c r="J20" s="19">
        <f>13325/10</f>
        <v>1332.5</v>
      </c>
    </row>
    <row r="21" spans="1:10" x14ac:dyDescent="0.3">
      <c r="A21" s="15">
        <v>16</v>
      </c>
      <c r="B21" s="16" t="s">
        <v>25</v>
      </c>
      <c r="C21" s="17">
        <v>0</v>
      </c>
      <c r="D21" s="17">
        <f>52151/10</f>
        <v>5215.1000000000004</v>
      </c>
      <c r="E21" s="19">
        <f>465080/10</f>
        <v>46508</v>
      </c>
      <c r="F21" s="19">
        <f>140530/10</f>
        <v>14053</v>
      </c>
      <c r="G21" s="19">
        <f>37695/10</f>
        <v>3769.5</v>
      </c>
      <c r="H21" s="18">
        <f>75097/10</f>
        <v>7509.7</v>
      </c>
      <c r="I21" s="19">
        <v>279</v>
      </c>
      <c r="J21" s="19">
        <f>46014/10</f>
        <v>4601.3999999999996</v>
      </c>
    </row>
    <row r="22" spans="1:10" x14ac:dyDescent="0.3">
      <c r="A22" s="15">
        <v>17</v>
      </c>
      <c r="B22" s="16" t="s">
        <v>26</v>
      </c>
      <c r="C22" s="17">
        <v>0</v>
      </c>
      <c r="D22" s="17">
        <v>0</v>
      </c>
      <c r="E22" s="19">
        <f>666840/10</f>
        <v>66684</v>
      </c>
      <c r="F22" s="19">
        <f>254860/10</f>
        <v>25486</v>
      </c>
      <c r="G22" s="19">
        <v>0</v>
      </c>
      <c r="H22" s="18">
        <v>0</v>
      </c>
      <c r="I22" s="19">
        <v>0</v>
      </c>
      <c r="J22" s="19">
        <v>0</v>
      </c>
    </row>
    <row r="23" spans="1:10" x14ac:dyDescent="0.3">
      <c r="A23" s="15">
        <v>18</v>
      </c>
      <c r="B23" s="16" t="s">
        <v>27</v>
      </c>
      <c r="C23" s="17">
        <v>0</v>
      </c>
      <c r="D23" s="17">
        <f>903/10</f>
        <v>90.3</v>
      </c>
      <c r="E23" s="19">
        <f>27199/10</f>
        <v>2719.9</v>
      </c>
      <c r="F23" s="19">
        <f>53030/10</f>
        <v>5303</v>
      </c>
      <c r="G23" s="19">
        <v>0</v>
      </c>
      <c r="H23" s="18">
        <f>267/10</f>
        <v>26.7</v>
      </c>
      <c r="I23" s="19">
        <v>0</v>
      </c>
      <c r="J23" s="19">
        <f>621/10</f>
        <v>62.1</v>
      </c>
    </row>
    <row r="24" spans="1:10" x14ac:dyDescent="0.3">
      <c r="A24" s="15">
        <v>19</v>
      </c>
      <c r="B24" s="16" t="s">
        <v>28</v>
      </c>
      <c r="C24" s="17">
        <v>0</v>
      </c>
      <c r="D24" s="17">
        <f>5600/10</f>
        <v>560</v>
      </c>
      <c r="E24" s="19">
        <f>4810/10</f>
        <v>481</v>
      </c>
      <c r="F24" s="19">
        <f>14210/10</f>
        <v>1421</v>
      </c>
      <c r="G24" s="19">
        <f>1750/10</f>
        <v>175</v>
      </c>
      <c r="H24" s="18">
        <f>3498/10</f>
        <v>349.8</v>
      </c>
      <c r="I24" s="19">
        <v>0</v>
      </c>
      <c r="J24" s="19">
        <f>1560/10</f>
        <v>156</v>
      </c>
    </row>
    <row r="25" spans="1:10" x14ac:dyDescent="0.3">
      <c r="A25" s="15">
        <v>20</v>
      </c>
      <c r="B25" s="16" t="s">
        <v>29</v>
      </c>
      <c r="C25" s="17">
        <v>0</v>
      </c>
      <c r="D25" s="17">
        <f>169/10</f>
        <v>16.899999999999999</v>
      </c>
      <c r="E25" s="18">
        <v>0</v>
      </c>
      <c r="F25" s="18">
        <v>0</v>
      </c>
      <c r="G25" s="19">
        <v>0</v>
      </c>
      <c r="H25" s="18">
        <v>0</v>
      </c>
      <c r="I25" s="19">
        <v>0</v>
      </c>
      <c r="J25" s="19">
        <f>189/10</f>
        <v>18.899999999999999</v>
      </c>
    </row>
    <row r="26" spans="1:10" x14ac:dyDescent="0.3">
      <c r="A26" s="20" t="s">
        <v>30</v>
      </c>
      <c r="B26" s="10"/>
      <c r="C26" s="21">
        <f>SUM(C6:C25)</f>
        <v>87.3</v>
      </c>
      <c r="D26" s="21">
        <f>SUM(D6:D25)</f>
        <v>16579.699999999997</v>
      </c>
      <c r="E26" s="21">
        <f t="shared" ref="E26:J26" si="0">SUM(E6:E25)</f>
        <v>116392.9</v>
      </c>
      <c r="F26" s="21">
        <f t="shared" si="0"/>
        <v>50523</v>
      </c>
      <c r="G26" s="21">
        <f t="shared" si="0"/>
        <v>4512.6000000000004</v>
      </c>
      <c r="H26" s="21">
        <f t="shared" si="0"/>
        <v>9565.6999999999989</v>
      </c>
      <c r="I26" s="21">
        <f t="shared" si="0"/>
        <v>567</v>
      </c>
      <c r="J26" s="21">
        <f t="shared" si="0"/>
        <v>7393.7</v>
      </c>
    </row>
    <row r="27" spans="1:10" x14ac:dyDescent="0.3">
      <c r="A27" s="22"/>
      <c r="B27" s="22"/>
      <c r="C27" s="22"/>
      <c r="D27" s="22"/>
      <c r="E27" s="22"/>
      <c r="F27" s="22"/>
      <c r="G27" s="22"/>
      <c r="H27" s="22"/>
      <c r="I27" s="22"/>
      <c r="J27" s="22"/>
    </row>
    <row r="28" spans="1:10" x14ac:dyDescent="0.3">
      <c r="A28" s="23" t="s">
        <v>31</v>
      </c>
      <c r="B28" s="22"/>
      <c r="C28" s="22"/>
      <c r="D28" s="22"/>
      <c r="E28" s="22"/>
      <c r="F28" s="22"/>
      <c r="G28" s="22"/>
      <c r="H28" s="22"/>
      <c r="I28" s="22"/>
      <c r="J28" s="22"/>
    </row>
    <row r="29" spans="1:10" x14ac:dyDescent="0.3">
      <c r="A29" s="23" t="s">
        <v>32</v>
      </c>
      <c r="B29" s="22"/>
      <c r="C29" s="22"/>
      <c r="D29" s="22"/>
      <c r="E29" s="22"/>
      <c r="F29" s="22"/>
      <c r="G29" s="22"/>
      <c r="H29" s="22"/>
      <c r="I29" s="22"/>
      <c r="J29" s="22"/>
    </row>
    <row r="30" spans="1:10" x14ac:dyDescent="0.3">
      <c r="A30" s="22"/>
      <c r="B30" s="23" t="s">
        <v>33</v>
      </c>
      <c r="C30" s="22"/>
      <c r="D30" s="22"/>
      <c r="E30" s="22"/>
      <c r="F30" s="22"/>
      <c r="G30" s="22"/>
      <c r="H30" s="22"/>
      <c r="I30" s="22"/>
      <c r="J30" s="22"/>
    </row>
    <row r="31" spans="1:10" x14ac:dyDescent="0.3">
      <c r="A31" s="22"/>
      <c r="B31" s="23"/>
      <c r="C31" s="22"/>
      <c r="D31" s="22"/>
      <c r="E31" s="22"/>
      <c r="F31" s="22"/>
      <c r="G31" s="22"/>
      <c r="H31" s="22"/>
      <c r="I31" s="22"/>
      <c r="J31" s="22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2025-07-09T03:42:42Z</dcterms:created>
  <dcterms:modified xsi:type="dcterms:W3CDTF">2025-07-09T03:43:54Z</dcterms:modified>
</cp:coreProperties>
</file>