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90DFD41-7670-46E1-8098-6A994843A858}" xr6:coauthVersionLast="47" xr6:coauthVersionMax="47" xr10:uidLastSave="{00000000-0000-0000-0000-000000000000}"/>
  <bookViews>
    <workbookView xWindow="-108" yWindow="-108" windowWidth="23256" windowHeight="13896" xr2:uid="{B1847DA3-DC79-4C07-96D2-2D0A993CE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F26" i="1"/>
  <c r="E26" i="1"/>
  <c r="D26" i="1"/>
  <c r="C26" i="1"/>
  <c r="G24" i="1"/>
  <c r="G21" i="1"/>
  <c r="G20" i="1"/>
  <c r="G19" i="1"/>
  <c r="G26" i="1" s="1"/>
</calcChain>
</file>

<file path=xl/sharedStrings.xml><?xml version="1.0" encoding="utf-8"?>
<sst xmlns="http://schemas.openxmlformats.org/spreadsheetml/2006/main" count="35" uniqueCount="35">
  <si>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</si>
  <si>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</si>
  <si>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</si>
  <si>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</si>
  <si>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</si>
  <si>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</si>
  <si>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</si>
  <si>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</si>
  <si>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</si>
  <si>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</si>
  <si>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</si>
  <si>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</si>
  <si>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</si>
  <si>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</si>
  <si>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</si>
  <si>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</si>
  <si>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</si>
  <si>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</si>
  <si>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</si>
  <si>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</si>
  <si>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</si>
  <si>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</si>
  <si>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</si>
  <si>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</si>
  <si>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</si>
  <si>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</si>
  <si>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</si>
  <si>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</si>
  <si>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</si>
  <si>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</si>
  <si>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</si>
  <si>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</si>
  <si>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</si>
  <si>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Tabel 5.2.2</t>
  </si>
  <si>
    <t xml:space="preserve"> Produksi Tanaman Sayuran Menurut Kecamatan dan Jenis Tanaman (ton),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</si>
</sst>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5" fillId="0" borderId="5" xfId="1" applyNumberFormat="1" applyFont="1" applyBorder="1" applyAlignment="1">
      <alignment horizontal="right"/>
    </xf>
    <xf numFmtId="4" fontId="5" fillId="0" borderId="5" xfId="1" applyNumberFormat="1" applyFont="1" applyBorder="1"/>
    <xf numFmtId="4" fontId="6" fillId="0" borderId="5" xfId="1" applyNumberFormat="1" applyFont="1" applyBorder="1"/>
    <xf numFmtId="0" fontId="2" fillId="0" borderId="2" xfId="1" applyFont="1" applyBorder="1" applyAlignment="1">
      <alignment horizontal="center"/>
    </xf>
    <xf numFmtId="4" fontId="2" fillId="0" borderId="5" xfId="1" applyNumberFormat="1" applyFont="1" applyBorder="1"/>
    <xf numFmtId="0" fontId="6" fillId="0" borderId="0" xfId="1" applyFont="1"/>
    <xf numFmtId="0" fontId="5" fillId="0" borderId="0" xfId="1" applyFont="1"/>
    <xf numFmtId="0" fontId="3" fillId="0" borderId="0" xfId="1" applyFont="1"/>
    <xf numFmtId="0" fontId="2" fillId="0" borderId="0" xfId="1" applyFont="1"/>
    <xf numFmtId="0" fontId="3" fillId="0" borderId="0" xfId="0" applyFont="1"/>
    <xf numFmtId="0" fontId="0" fillId="0" borderId="0" xfId="1" applyFont="1"/>
    <xf numFmtId="0" fontId="2" fillId="2" borderId="0" xfId="1" applyFont="1" applyFill="1"/>
  </cellXfs>
  <cellStyles count="2">
    <cellStyle name="Normal" xfId="0" builtinId="0"/>
    <cellStyle name="Normal 2" xfId="1" xr:uid="{10A72594-E2B1-4C76-B01C-EBFC856905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A430-D301-4A10-91B7-1611A144D8FF}">
  <dimension ref="A1:J31"/>
  <sheetViews>
    <sheetView tabSelected="1" workbookViewId="0">
      <selection activeCell="L18" sqref="L18"/>
    </sheetView>
  </sheetViews>
  <sheetFormatPr defaultColWidth="14.44140625" defaultRowHeight="14.4" x14ac:dyDescent="0.3"/>
  <cols>
    <col min="1" max="1" width="4.5546875" style="22" customWidth="1"/>
    <col min="2" max="2" width="19.44140625" style="22" customWidth="1"/>
    <col min="3" max="4" width="9.77734375" style="22" customWidth="1"/>
    <col min="5" max="5" width="11" style="22" customWidth="1"/>
    <col min="6" max="10" width="9.77734375" style="22" customWidth="1"/>
    <col min="11" max="16384" width="14.44140625" style="22"/>
  </cols>
  <sheetData>
    <row r="1" spans="1:10" x14ac:dyDescent="0.3">
      <c r="A1" s="19" t="s">
        <v>33</v>
      </c>
      <c r="B1" s="20"/>
      <c r="C1" s="21" t="s">
        <v>34</v>
      </c>
      <c r="D1" s="20"/>
      <c r="E1" s="20"/>
      <c r="F1" s="20"/>
      <c r="G1" s="20"/>
      <c r="H1" s="20"/>
      <c r="I1" s="20"/>
      <c r="J1" s="20"/>
    </row>
    <row r="2" spans="1:10" x14ac:dyDescent="0.3">
      <c r="A2" s="23"/>
      <c r="B2" s="23"/>
      <c r="C2" s="20"/>
      <c r="D2" s="20"/>
      <c r="E2" s="20"/>
      <c r="F2" s="20"/>
      <c r="G2" s="20"/>
      <c r="H2" s="20"/>
      <c r="I2" s="20"/>
      <c r="J2" s="20"/>
    </row>
    <row r="3" spans="1:10" ht="30" customHeight="1" x14ac:dyDescent="0.3">
      <c r="A3" s="1"/>
      <c r="B3" s="1"/>
      <c r="C3" s="2" t="s">
        <v>0</v>
      </c>
      <c r="D3" s="3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3" t="s">
        <v>7</v>
      </c>
    </row>
    <row r="4" spans="1:10" x14ac:dyDescent="0.3">
      <c r="A4" s="4" t="s">
        <v>8</v>
      </c>
      <c r="B4" s="5"/>
      <c r="C4" s="6">
        <v>2019</v>
      </c>
      <c r="D4" s="6">
        <v>2019</v>
      </c>
      <c r="E4" s="6">
        <v>2019</v>
      </c>
      <c r="F4" s="6">
        <v>2019</v>
      </c>
      <c r="G4" s="6">
        <v>2019</v>
      </c>
      <c r="H4" s="6">
        <v>2019</v>
      </c>
      <c r="I4" s="6">
        <v>2019</v>
      </c>
      <c r="J4" s="6">
        <v>2019</v>
      </c>
    </row>
    <row r="5" spans="1:10" x14ac:dyDescent="0.3">
      <c r="A5" s="7">
        <v>1</v>
      </c>
      <c r="B5" s="5"/>
      <c r="C5" s="8">
        <v>2</v>
      </c>
      <c r="D5" s="8">
        <v>5</v>
      </c>
      <c r="E5" s="8">
        <v>8</v>
      </c>
      <c r="F5" s="8">
        <v>11</v>
      </c>
      <c r="G5" s="8">
        <v>14</v>
      </c>
      <c r="H5" s="8">
        <v>17</v>
      </c>
      <c r="I5" s="8">
        <v>20</v>
      </c>
      <c r="J5" s="9">
        <v>23</v>
      </c>
    </row>
    <row r="6" spans="1:10" x14ac:dyDescent="0.3">
      <c r="A6" s="10">
        <v>1</v>
      </c>
      <c r="B6" s="11" t="s">
        <v>9</v>
      </c>
      <c r="C6" s="12">
        <v>0</v>
      </c>
      <c r="D6" s="12">
        <v>30</v>
      </c>
      <c r="E6" s="13">
        <v>0</v>
      </c>
      <c r="F6" s="13">
        <v>0</v>
      </c>
      <c r="G6" s="14">
        <v>0</v>
      </c>
      <c r="H6" s="13">
        <v>0</v>
      </c>
      <c r="I6" s="14">
        <v>0</v>
      </c>
      <c r="J6" s="14">
        <v>79</v>
      </c>
    </row>
    <row r="7" spans="1:10" x14ac:dyDescent="0.3">
      <c r="A7" s="10">
        <v>2</v>
      </c>
      <c r="B7" s="11" t="s">
        <v>10</v>
      </c>
      <c r="C7" s="12">
        <v>0</v>
      </c>
      <c r="D7" s="12">
        <v>0</v>
      </c>
      <c r="E7" s="13">
        <v>0</v>
      </c>
      <c r="F7" s="13">
        <v>0</v>
      </c>
      <c r="G7" s="14">
        <v>0</v>
      </c>
      <c r="H7" s="13">
        <v>0</v>
      </c>
      <c r="I7" s="14">
        <v>0</v>
      </c>
      <c r="J7" s="14">
        <v>0</v>
      </c>
    </row>
    <row r="8" spans="1:10" x14ac:dyDescent="0.3">
      <c r="A8" s="10">
        <v>3</v>
      </c>
      <c r="B8" s="11" t="s">
        <v>11</v>
      </c>
      <c r="C8" s="12">
        <v>0</v>
      </c>
      <c r="D8" s="12">
        <v>162.5</v>
      </c>
      <c r="E8" s="13">
        <v>0</v>
      </c>
      <c r="F8" s="13">
        <v>0</v>
      </c>
      <c r="G8" s="14">
        <v>0</v>
      </c>
      <c r="H8" s="13">
        <v>0</v>
      </c>
      <c r="I8" s="14">
        <v>0</v>
      </c>
      <c r="J8" s="14">
        <v>35.200000000000003</v>
      </c>
    </row>
    <row r="9" spans="1:10" x14ac:dyDescent="0.3">
      <c r="A9" s="10">
        <v>4</v>
      </c>
      <c r="B9" s="11" t="s">
        <v>12</v>
      </c>
      <c r="C9" s="12">
        <v>30.6</v>
      </c>
      <c r="D9" s="12">
        <v>10295.1</v>
      </c>
      <c r="E9" s="13">
        <v>0</v>
      </c>
      <c r="F9" s="13">
        <v>0</v>
      </c>
      <c r="G9" s="14">
        <v>0</v>
      </c>
      <c r="H9" s="13">
        <v>804</v>
      </c>
      <c r="I9" s="14">
        <v>0</v>
      </c>
      <c r="J9" s="14">
        <v>680.2</v>
      </c>
    </row>
    <row r="10" spans="1:10" x14ac:dyDescent="0.3">
      <c r="A10" s="10">
        <v>5</v>
      </c>
      <c r="B10" s="11" t="s">
        <v>13</v>
      </c>
      <c r="C10" s="12">
        <v>2.9</v>
      </c>
      <c r="D10" s="12">
        <v>455.3</v>
      </c>
      <c r="E10" s="13">
        <v>0</v>
      </c>
      <c r="F10" s="13">
        <v>0</v>
      </c>
      <c r="G10" s="14">
        <v>0</v>
      </c>
      <c r="H10" s="13">
        <v>161.5</v>
      </c>
      <c r="I10" s="14">
        <v>0</v>
      </c>
      <c r="J10" s="14">
        <v>279.89999999999998</v>
      </c>
    </row>
    <row r="11" spans="1:10" x14ac:dyDescent="0.3">
      <c r="A11" s="10">
        <v>6</v>
      </c>
      <c r="B11" s="11" t="s">
        <v>14</v>
      </c>
      <c r="C11" s="12">
        <v>0</v>
      </c>
      <c r="D11" s="12">
        <v>15.5</v>
      </c>
      <c r="E11" s="13">
        <v>0</v>
      </c>
      <c r="F11" s="13">
        <v>0</v>
      </c>
      <c r="G11" s="14">
        <v>0</v>
      </c>
      <c r="H11" s="13">
        <v>35.299999999999997</v>
      </c>
      <c r="I11" s="14">
        <v>0</v>
      </c>
      <c r="J11" s="14">
        <v>1.3</v>
      </c>
    </row>
    <row r="12" spans="1:10" x14ac:dyDescent="0.3">
      <c r="A12" s="10">
        <v>7</v>
      </c>
      <c r="B12" s="11" t="s">
        <v>15</v>
      </c>
      <c r="C12" s="12">
        <v>0</v>
      </c>
      <c r="D12" s="12">
        <v>0.6</v>
      </c>
      <c r="E12" s="13">
        <v>0</v>
      </c>
      <c r="F12" s="13">
        <v>0</v>
      </c>
      <c r="G12" s="14">
        <v>0</v>
      </c>
      <c r="H12" s="13">
        <v>0</v>
      </c>
      <c r="I12" s="14">
        <v>0</v>
      </c>
      <c r="J12" s="14">
        <v>22.4</v>
      </c>
    </row>
    <row r="13" spans="1:10" x14ac:dyDescent="0.3">
      <c r="A13" s="10">
        <v>8</v>
      </c>
      <c r="B13" s="11" t="s">
        <v>16</v>
      </c>
      <c r="C13" s="12">
        <v>0</v>
      </c>
      <c r="D13" s="12">
        <v>0</v>
      </c>
      <c r="E13" s="13">
        <v>0</v>
      </c>
      <c r="F13" s="13">
        <v>0</v>
      </c>
      <c r="G13" s="14">
        <v>0</v>
      </c>
      <c r="H13" s="13">
        <v>0</v>
      </c>
      <c r="I13" s="14">
        <v>0</v>
      </c>
      <c r="J13" s="14">
        <v>0</v>
      </c>
    </row>
    <row r="14" spans="1:10" x14ac:dyDescent="0.3">
      <c r="A14" s="10">
        <v>9</v>
      </c>
      <c r="B14" s="11" t="s">
        <v>17</v>
      </c>
      <c r="C14" s="12">
        <v>0</v>
      </c>
      <c r="D14" s="12">
        <v>18.3</v>
      </c>
      <c r="E14" s="13">
        <v>0</v>
      </c>
      <c r="F14" s="13">
        <v>0</v>
      </c>
      <c r="G14" s="14">
        <v>0</v>
      </c>
      <c r="H14" s="13">
        <v>0</v>
      </c>
      <c r="I14" s="14">
        <v>0</v>
      </c>
      <c r="J14" s="14">
        <v>14.2</v>
      </c>
    </row>
    <row r="15" spans="1:10" x14ac:dyDescent="0.3">
      <c r="A15" s="10">
        <v>10</v>
      </c>
      <c r="B15" s="11" t="s">
        <v>18</v>
      </c>
      <c r="C15" s="12">
        <v>0</v>
      </c>
      <c r="D15" s="12">
        <v>14.3</v>
      </c>
      <c r="E15" s="13">
        <v>0</v>
      </c>
      <c r="F15" s="13">
        <v>0</v>
      </c>
      <c r="G15" s="14">
        <v>0</v>
      </c>
      <c r="H15" s="13">
        <v>13.7</v>
      </c>
      <c r="I15" s="14">
        <v>0</v>
      </c>
      <c r="J15" s="14">
        <v>8.9</v>
      </c>
    </row>
    <row r="16" spans="1:10" x14ac:dyDescent="0.3">
      <c r="A16" s="10">
        <v>11</v>
      </c>
      <c r="B16" s="11" t="s">
        <v>19</v>
      </c>
      <c r="C16" s="12">
        <v>0</v>
      </c>
      <c r="D16" s="12">
        <v>5</v>
      </c>
      <c r="E16" s="13">
        <v>0</v>
      </c>
      <c r="F16" s="13">
        <v>0</v>
      </c>
      <c r="G16" s="14">
        <v>0</v>
      </c>
      <c r="H16" s="13">
        <v>0</v>
      </c>
      <c r="I16" s="14">
        <v>0</v>
      </c>
      <c r="J16" s="14">
        <v>3.8</v>
      </c>
    </row>
    <row r="17" spans="1:10" x14ac:dyDescent="0.3">
      <c r="A17" s="10">
        <v>12</v>
      </c>
      <c r="B17" s="11" t="s">
        <v>20</v>
      </c>
      <c r="C17" s="12">
        <v>0</v>
      </c>
      <c r="D17" s="12">
        <v>47.7</v>
      </c>
      <c r="E17" s="13">
        <v>0</v>
      </c>
      <c r="F17" s="13">
        <v>0</v>
      </c>
      <c r="G17" s="14">
        <v>0</v>
      </c>
      <c r="H17" s="13">
        <v>0</v>
      </c>
      <c r="I17" s="14">
        <v>0</v>
      </c>
      <c r="J17" s="14">
        <v>19.2</v>
      </c>
    </row>
    <row r="18" spans="1:10" x14ac:dyDescent="0.3">
      <c r="A18" s="10">
        <v>13</v>
      </c>
      <c r="B18" s="11" t="s">
        <v>21</v>
      </c>
      <c r="C18" s="12">
        <v>0</v>
      </c>
      <c r="D18" s="12">
        <v>0</v>
      </c>
      <c r="E18" s="13">
        <v>0</v>
      </c>
      <c r="F18" s="13">
        <v>0</v>
      </c>
      <c r="G18" s="14">
        <v>0</v>
      </c>
      <c r="H18" s="13">
        <v>0</v>
      </c>
      <c r="I18" s="14">
        <v>0</v>
      </c>
      <c r="J18" s="14">
        <v>0</v>
      </c>
    </row>
    <row r="19" spans="1:10" x14ac:dyDescent="0.3">
      <c r="A19" s="10">
        <v>14</v>
      </c>
      <c r="B19" s="11" t="s">
        <v>22</v>
      </c>
      <c r="C19" s="12">
        <v>0</v>
      </c>
      <c r="D19" s="12">
        <v>335</v>
      </c>
      <c r="E19" s="13">
        <v>0</v>
      </c>
      <c r="F19" s="13">
        <v>2270</v>
      </c>
      <c r="G19" s="14">
        <f>3510/10</f>
        <v>351</v>
      </c>
      <c r="H19" s="13">
        <v>1191</v>
      </c>
      <c r="I19" s="14">
        <v>115</v>
      </c>
      <c r="J19" s="14">
        <v>1166.2</v>
      </c>
    </row>
    <row r="20" spans="1:10" x14ac:dyDescent="0.3">
      <c r="A20" s="10">
        <v>15</v>
      </c>
      <c r="B20" s="11" t="s">
        <v>23</v>
      </c>
      <c r="C20" s="12">
        <v>0</v>
      </c>
      <c r="D20" s="12">
        <v>273.60000000000002</v>
      </c>
      <c r="E20" s="13">
        <v>0</v>
      </c>
      <c r="F20" s="13">
        <v>2190</v>
      </c>
      <c r="G20" s="14">
        <f>2870/10</f>
        <v>287</v>
      </c>
      <c r="H20" s="13">
        <v>46.4</v>
      </c>
      <c r="I20" s="14">
        <v>88</v>
      </c>
      <c r="J20" s="14">
        <v>1476.4</v>
      </c>
    </row>
    <row r="21" spans="1:10" x14ac:dyDescent="0.3">
      <c r="A21" s="10">
        <v>16</v>
      </c>
      <c r="B21" s="11" t="s">
        <v>24</v>
      </c>
      <c r="C21" s="12">
        <v>0</v>
      </c>
      <c r="D21" s="12">
        <v>4926.6000000000004</v>
      </c>
      <c r="E21" s="13">
        <v>43406.6</v>
      </c>
      <c r="F21" s="13">
        <v>10908.5</v>
      </c>
      <c r="G21" s="14">
        <f>44747/10</f>
        <v>4474.7</v>
      </c>
      <c r="H21" s="13">
        <v>7028.9</v>
      </c>
      <c r="I21" s="14">
        <v>322</v>
      </c>
      <c r="J21" s="14">
        <v>6546.7</v>
      </c>
    </row>
    <row r="22" spans="1:10" x14ac:dyDescent="0.3">
      <c r="A22" s="10">
        <v>17</v>
      </c>
      <c r="B22" s="11" t="s">
        <v>25</v>
      </c>
      <c r="C22" s="12">
        <v>3.8</v>
      </c>
      <c r="D22" s="12">
        <v>0</v>
      </c>
      <c r="E22" s="13">
        <v>65216</v>
      </c>
      <c r="F22" s="13">
        <v>60134.5</v>
      </c>
      <c r="G22" s="14">
        <v>0</v>
      </c>
      <c r="H22" s="13">
        <v>0</v>
      </c>
      <c r="I22" s="14">
        <v>0</v>
      </c>
      <c r="J22" s="14">
        <v>0</v>
      </c>
    </row>
    <row r="23" spans="1:10" x14ac:dyDescent="0.3">
      <c r="A23" s="10">
        <v>18</v>
      </c>
      <c r="B23" s="11" t="s">
        <v>26</v>
      </c>
      <c r="C23" s="12">
        <v>0</v>
      </c>
      <c r="D23" s="12">
        <v>75.900000000000006</v>
      </c>
      <c r="E23" s="13">
        <v>4251.6000000000004</v>
      </c>
      <c r="F23" s="13">
        <v>5535.3</v>
      </c>
      <c r="G23" s="14">
        <v>0</v>
      </c>
      <c r="H23" s="13">
        <v>22.9</v>
      </c>
      <c r="I23" s="14">
        <v>70.400000000000006</v>
      </c>
      <c r="J23" s="14">
        <v>64.3</v>
      </c>
    </row>
    <row r="24" spans="1:10" x14ac:dyDescent="0.3">
      <c r="A24" s="10">
        <v>19</v>
      </c>
      <c r="B24" s="11" t="s">
        <v>27</v>
      </c>
      <c r="C24" s="12">
        <v>0</v>
      </c>
      <c r="D24" s="12">
        <v>308</v>
      </c>
      <c r="E24" s="13">
        <v>624</v>
      </c>
      <c r="F24" s="13">
        <v>900</v>
      </c>
      <c r="G24" s="14">
        <f>1350/10</f>
        <v>135</v>
      </c>
      <c r="H24" s="13">
        <v>156.80000000000001</v>
      </c>
      <c r="I24" s="14">
        <v>0</v>
      </c>
      <c r="J24" s="14">
        <v>112.2</v>
      </c>
    </row>
    <row r="25" spans="1:10" x14ac:dyDescent="0.3">
      <c r="A25" s="10">
        <v>20</v>
      </c>
      <c r="B25" s="11" t="s">
        <v>28</v>
      </c>
      <c r="C25" s="12">
        <v>0</v>
      </c>
      <c r="D25" s="12">
        <v>14.8</v>
      </c>
      <c r="E25" s="13">
        <v>0</v>
      </c>
      <c r="F25" s="13">
        <v>7</v>
      </c>
      <c r="G25" s="14">
        <v>0</v>
      </c>
      <c r="H25" s="13">
        <v>0</v>
      </c>
      <c r="I25" s="14">
        <v>0</v>
      </c>
      <c r="J25" s="14">
        <v>63.7</v>
      </c>
    </row>
    <row r="26" spans="1:10" x14ac:dyDescent="0.3">
      <c r="A26" s="15" t="s">
        <v>29</v>
      </c>
      <c r="B26" s="5"/>
      <c r="C26" s="16">
        <f t="shared" ref="C26:J26" si="0">SUM(C6:C25)</f>
        <v>37.299999999999997</v>
      </c>
      <c r="D26" s="16">
        <f t="shared" ref="D26" si="1">SUM(D6:D25)</f>
        <v>16978.2</v>
      </c>
      <c r="E26" s="16">
        <f t="shared" ref="E26" si="2">SUM(E6:E25)</f>
        <v>113498.20000000001</v>
      </c>
      <c r="F26" s="16">
        <f t="shared" si="0"/>
        <v>81945.3</v>
      </c>
      <c r="G26" s="16">
        <f t="shared" si="0"/>
        <v>5247.7</v>
      </c>
      <c r="H26" s="16">
        <f t="shared" si="0"/>
        <v>9460.4999999999982</v>
      </c>
      <c r="I26" s="16">
        <f t="shared" si="0"/>
        <v>595.4</v>
      </c>
      <c r="J26" s="16">
        <f t="shared" si="0"/>
        <v>10573.6</v>
      </c>
    </row>
    <row r="27" spans="1:10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x14ac:dyDescent="0.3">
      <c r="A28" s="18" t="s">
        <v>30</v>
      </c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3">
      <c r="A29" s="18" t="s">
        <v>31</v>
      </c>
      <c r="B29" s="17"/>
      <c r="C29" s="17"/>
      <c r="D29" s="17"/>
      <c r="E29" s="17"/>
      <c r="F29" s="17"/>
      <c r="G29" s="17"/>
      <c r="H29" s="17"/>
      <c r="I29" s="17"/>
      <c r="J29" s="17"/>
    </row>
    <row r="30" spans="1:10" x14ac:dyDescent="0.3">
      <c r="A30" s="17"/>
      <c r="B30" s="18" t="s">
        <v>32</v>
      </c>
      <c r="C30" s="17"/>
      <c r="D30" s="17"/>
      <c r="E30" s="17"/>
      <c r="F30" s="17"/>
      <c r="G30" s="17"/>
      <c r="H30" s="17"/>
      <c r="I30" s="17"/>
      <c r="J30" s="17"/>
    </row>
    <row r="31" spans="1:10" x14ac:dyDescent="0.3">
      <c r="A31" s="17"/>
      <c r="B31" s="18"/>
      <c r="C31" s="17"/>
      <c r="D31" s="17"/>
      <c r="E31" s="17"/>
      <c r="F31" s="17"/>
      <c r="G31" s="17"/>
      <c r="H31" s="17"/>
      <c r="I31" s="17"/>
      <c r="J31" s="17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2025-07-09T03:40:20Z</dcterms:created>
  <dcterms:modified xsi:type="dcterms:W3CDTF">2025-07-09T03:41:41Z</dcterms:modified>
</cp:coreProperties>
</file>