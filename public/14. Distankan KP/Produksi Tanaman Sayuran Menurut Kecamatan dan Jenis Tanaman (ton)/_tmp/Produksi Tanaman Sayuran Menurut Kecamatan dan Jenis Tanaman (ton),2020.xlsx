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60604E87-29FB-4291-B695-2CC74F11B2F4}" xr6:coauthVersionLast="47" xr6:coauthVersionMax="47" xr10:uidLastSave="{00000000-0000-0000-0000-000000000000}"/>
  <bookViews>
    <workbookView xWindow="-108" yWindow="-108" windowWidth="23256" windowHeight="13896" xr2:uid="{D59270A9-14B8-48BA-ABE3-8D321E1CF5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1" l="1"/>
  <c r="I26" i="1"/>
  <c r="H26" i="1"/>
  <c r="F26" i="1"/>
  <c r="E26" i="1"/>
  <c r="D26" i="1"/>
  <c r="C26" i="1"/>
  <c r="G24" i="1"/>
  <c r="G21" i="1"/>
  <c r="G20" i="1"/>
  <c r="G19" i="1"/>
  <c r="G17" i="1"/>
  <c r="G26" i="1" s="1"/>
</calcChain>
</file>

<file path=xl/sharedStrings.xml><?xml version="1.0" encoding="utf-8"?>
<sst xmlns="http://schemas.openxmlformats.org/spreadsheetml/2006/main" count="35" uniqueCount="35">
  <si>
    <t>Tabel 5.2.2</t>
  </si>
  <si>
    <t>Bawang Merah</t>
  </si>
  <si>
    <t>Cabai Besar</t>
  </si>
  <si>
    <t>Kentang</t>
  </si>
  <si>
    <t>Kubis</t>
  </si>
  <si>
    <t>Petsai</t>
  </si>
  <si>
    <t>Tomat</t>
  </si>
  <si>
    <t>Bawang Putih</t>
  </si>
  <si>
    <t>Cabai Rawit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</si>
  <si>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</si>
  <si>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</si>
  <si>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</si>
  <si>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</si>
  <si>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</si>
  <si>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</si>
  <si>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</si>
  <si>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</si>
  <si>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</si>
  <si>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</si>
  <si>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</si>
  <si>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</si>
  <si>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</si>
  <si>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</si>
  <si>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</si>
  <si>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</si>
  <si>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</si>
  <si>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</si>
  <si>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</si>
  <si>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</si>
  <si>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</si>
  <si>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</si>
  <si>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</si>
  <si>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</si>
  <si>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</si>
  <si>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 xml:space="preserve"> Produksi Tanaman Sayuran Menurut Kecamatan dan Jenis Tanaman (ton),2020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</si>
</sst>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0" xfId="0" applyFont="1"/>
    <xf numFmtId="0" fontId="0" fillId="0" borderId="0" xfId="1" applyFont="1"/>
    <xf numFmtId="0" fontId="3" fillId="2" borderId="0" xfId="1" applyFont="1" applyFill="1"/>
    <xf numFmtId="0" fontId="3" fillId="0" borderId="0" xfId="1" applyFont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2" xfId="1" applyFont="1" applyBorder="1" applyAlignment="1">
      <alignment horizontal="center" vertical="center" wrapText="1"/>
    </xf>
    <xf numFmtId="0" fontId="4" fillId="0" borderId="3" xfId="1" applyFont="1" applyBorder="1"/>
    <xf numFmtId="0" fontId="3" fillId="0" borderId="4" xfId="1" applyFont="1" applyBorder="1" applyAlignment="1">
      <alignment horizontal="center" vertical="center" wrapText="1"/>
    </xf>
    <xf numFmtId="164" fontId="5" fillId="0" borderId="2" xfId="1" applyNumberFormat="1" applyFont="1" applyBorder="1" applyAlignment="1">
      <alignment horizontal="center"/>
    </xf>
    <xf numFmtId="164" fontId="5" fillId="0" borderId="5" xfId="1" applyNumberFormat="1" applyFont="1" applyBorder="1" applyAlignment="1">
      <alignment horizontal="center"/>
    </xf>
    <xf numFmtId="164" fontId="6" fillId="0" borderId="5" xfId="1" applyNumberFormat="1" applyFont="1" applyBorder="1" applyAlignment="1">
      <alignment horizontal="center"/>
    </xf>
    <xf numFmtId="165" fontId="5" fillId="0" borderId="2" xfId="1" applyNumberFormat="1" applyFont="1" applyBorder="1"/>
    <xf numFmtId="0" fontId="5" fillId="0" borderId="3" xfId="1" applyFont="1" applyBorder="1"/>
    <xf numFmtId="4" fontId="5" fillId="0" borderId="5" xfId="1" applyNumberFormat="1" applyFont="1" applyBorder="1" applyAlignment="1">
      <alignment horizontal="right"/>
    </xf>
    <xf numFmtId="4" fontId="5" fillId="0" borderId="5" xfId="1" applyNumberFormat="1" applyFont="1" applyBorder="1"/>
    <xf numFmtId="4" fontId="6" fillId="0" borderId="5" xfId="1" applyNumberFormat="1" applyFont="1" applyBorder="1"/>
    <xf numFmtId="0" fontId="3" fillId="0" borderId="2" xfId="1" applyFont="1" applyBorder="1" applyAlignment="1">
      <alignment horizontal="center"/>
    </xf>
    <xf numFmtId="4" fontId="3" fillId="0" borderId="5" xfId="1" applyNumberFormat="1" applyFont="1" applyBorder="1"/>
    <xf numFmtId="0" fontId="6" fillId="0" borderId="0" xfId="1" applyFont="1"/>
    <xf numFmtId="0" fontId="5" fillId="0" borderId="0" xfId="1" applyFont="1"/>
  </cellXfs>
  <cellStyles count="2">
    <cellStyle name="Normal" xfId="0" builtinId="0"/>
    <cellStyle name="Normal 2" xfId="1" xr:uid="{221E50D6-B962-40E5-A091-95FFB83202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E626C-3DA4-45FB-8837-ABBD1201F133}">
  <dimension ref="A1:J31"/>
  <sheetViews>
    <sheetView tabSelected="1" workbookViewId="0">
      <selection activeCell="K12" sqref="K12"/>
    </sheetView>
  </sheetViews>
  <sheetFormatPr defaultColWidth="14.44140625" defaultRowHeight="14.4" x14ac:dyDescent="0.3"/>
  <cols>
    <col min="1" max="1" width="4.5546875" style="4" customWidth="1"/>
    <col min="2" max="2" width="19.44140625" style="4" customWidth="1"/>
    <col min="3" max="4" width="9.77734375" style="4" customWidth="1"/>
    <col min="5" max="5" width="10.77734375" style="4" customWidth="1"/>
    <col min="6" max="9" width="9.77734375" style="4" customWidth="1"/>
    <col min="10" max="10" width="11" style="4" customWidth="1"/>
    <col min="11" max="16384" width="14.44140625" style="4"/>
  </cols>
  <sheetData>
    <row r="1" spans="1:10" x14ac:dyDescent="0.3">
      <c r="A1" s="1" t="s">
        <v>0</v>
      </c>
      <c r="B1" s="2"/>
      <c r="C1" s="3" t="s">
        <v>34</v>
      </c>
      <c r="D1" s="2"/>
      <c r="E1" s="2"/>
      <c r="F1" s="2"/>
      <c r="G1" s="2"/>
      <c r="H1" s="2"/>
      <c r="I1" s="2"/>
      <c r="J1" s="2"/>
    </row>
    <row r="2" spans="1:10" x14ac:dyDescent="0.3">
      <c r="A2" s="5"/>
      <c r="B2" s="5"/>
      <c r="C2" s="2"/>
      <c r="D2" s="2"/>
      <c r="E2" s="2"/>
      <c r="F2" s="2"/>
      <c r="G2" s="2"/>
      <c r="H2" s="2"/>
      <c r="I2" s="2"/>
      <c r="J2" s="2"/>
    </row>
    <row r="3" spans="1:10" ht="30" customHeight="1" x14ac:dyDescent="0.3">
      <c r="A3" s="6"/>
      <c r="B3" s="6"/>
      <c r="C3" s="7" t="s">
        <v>1</v>
      </c>
      <c r="D3" s="8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7</v>
      </c>
      <c r="J3" s="8" t="s">
        <v>8</v>
      </c>
    </row>
    <row r="4" spans="1:10" x14ac:dyDescent="0.3">
      <c r="A4" s="9" t="s">
        <v>9</v>
      </c>
      <c r="B4" s="10"/>
      <c r="C4" s="11">
        <v>2020</v>
      </c>
      <c r="D4" s="11">
        <v>2020</v>
      </c>
      <c r="E4" s="11">
        <v>2020</v>
      </c>
      <c r="F4" s="11">
        <v>2020</v>
      </c>
      <c r="G4" s="11">
        <v>2020</v>
      </c>
      <c r="H4" s="11">
        <v>2020</v>
      </c>
      <c r="I4" s="11">
        <v>2020</v>
      </c>
      <c r="J4" s="11">
        <v>2020</v>
      </c>
    </row>
    <row r="5" spans="1:10" x14ac:dyDescent="0.3">
      <c r="A5" s="12">
        <v>1</v>
      </c>
      <c r="B5" s="10"/>
      <c r="C5" s="13">
        <v>3</v>
      </c>
      <c r="D5" s="13">
        <v>6</v>
      </c>
      <c r="E5" s="13">
        <v>9</v>
      </c>
      <c r="F5" s="13">
        <v>12</v>
      </c>
      <c r="G5" s="13">
        <v>15</v>
      </c>
      <c r="H5" s="13">
        <v>18</v>
      </c>
      <c r="I5" s="13">
        <v>21</v>
      </c>
      <c r="J5" s="14">
        <v>24</v>
      </c>
    </row>
    <row r="6" spans="1:10" x14ac:dyDescent="0.3">
      <c r="A6" s="15">
        <v>1</v>
      </c>
      <c r="B6" s="16" t="s">
        <v>10</v>
      </c>
      <c r="C6" s="17">
        <v>0</v>
      </c>
      <c r="D6" s="17">
        <v>0</v>
      </c>
      <c r="E6" s="18">
        <v>0</v>
      </c>
      <c r="F6" s="18">
        <v>0</v>
      </c>
      <c r="G6" s="19">
        <v>0</v>
      </c>
      <c r="H6" s="18">
        <v>0</v>
      </c>
      <c r="I6" s="19">
        <v>0</v>
      </c>
      <c r="J6" s="19">
        <v>0</v>
      </c>
    </row>
    <row r="7" spans="1:10" x14ac:dyDescent="0.3">
      <c r="A7" s="15">
        <v>2</v>
      </c>
      <c r="B7" s="16" t="s">
        <v>11</v>
      </c>
      <c r="C7" s="17">
        <v>0</v>
      </c>
      <c r="D7" s="17">
        <v>0</v>
      </c>
      <c r="E7" s="18">
        <v>0</v>
      </c>
      <c r="F7" s="18">
        <v>0</v>
      </c>
      <c r="G7" s="19">
        <v>0</v>
      </c>
      <c r="H7" s="18">
        <v>0</v>
      </c>
      <c r="I7" s="19">
        <v>0</v>
      </c>
      <c r="J7" s="19">
        <v>0</v>
      </c>
    </row>
    <row r="8" spans="1:10" x14ac:dyDescent="0.3">
      <c r="A8" s="15">
        <v>3</v>
      </c>
      <c r="B8" s="16" t="s">
        <v>12</v>
      </c>
      <c r="C8" s="17">
        <v>0</v>
      </c>
      <c r="D8" s="17">
        <v>45</v>
      </c>
      <c r="E8" s="18">
        <v>0</v>
      </c>
      <c r="F8" s="18">
        <v>0</v>
      </c>
      <c r="G8" s="19">
        <v>0</v>
      </c>
      <c r="H8" s="18">
        <v>0</v>
      </c>
      <c r="I8" s="19">
        <v>0</v>
      </c>
      <c r="J8" s="19">
        <v>20</v>
      </c>
    </row>
    <row r="9" spans="1:10" x14ac:dyDescent="0.3">
      <c r="A9" s="15">
        <v>4</v>
      </c>
      <c r="B9" s="16" t="s">
        <v>13</v>
      </c>
      <c r="C9" s="17">
        <v>7.7</v>
      </c>
      <c r="D9" s="17">
        <v>9152.5</v>
      </c>
      <c r="E9" s="18">
        <v>0</v>
      </c>
      <c r="F9" s="18">
        <v>0</v>
      </c>
      <c r="G9" s="19">
        <v>0</v>
      </c>
      <c r="H9" s="18">
        <v>1110.7</v>
      </c>
      <c r="I9" s="19">
        <v>0</v>
      </c>
      <c r="J9" s="19">
        <v>355.4</v>
      </c>
    </row>
    <row r="10" spans="1:10" x14ac:dyDescent="0.3">
      <c r="A10" s="15">
        <v>5</v>
      </c>
      <c r="B10" s="16" t="s">
        <v>14</v>
      </c>
      <c r="C10" s="17">
        <v>7.9</v>
      </c>
      <c r="D10" s="17">
        <v>169.5</v>
      </c>
      <c r="E10" s="18">
        <v>0</v>
      </c>
      <c r="F10" s="18">
        <v>0</v>
      </c>
      <c r="G10" s="19">
        <v>0</v>
      </c>
      <c r="H10" s="18">
        <v>464.1</v>
      </c>
      <c r="I10" s="19">
        <v>0</v>
      </c>
      <c r="J10" s="19">
        <v>151.80000000000001</v>
      </c>
    </row>
    <row r="11" spans="1:10" x14ac:dyDescent="0.3">
      <c r="A11" s="15">
        <v>6</v>
      </c>
      <c r="B11" s="16" t="s">
        <v>15</v>
      </c>
      <c r="C11" s="17">
        <v>19.5</v>
      </c>
      <c r="D11" s="17">
        <v>10</v>
      </c>
      <c r="E11" s="18">
        <v>0</v>
      </c>
      <c r="F11" s="18">
        <v>0</v>
      </c>
      <c r="G11" s="19">
        <v>0</v>
      </c>
      <c r="H11" s="18">
        <v>0</v>
      </c>
      <c r="I11" s="19">
        <v>0</v>
      </c>
      <c r="J11" s="19">
        <v>0</v>
      </c>
    </row>
    <row r="12" spans="1:10" x14ac:dyDescent="0.3">
      <c r="A12" s="15">
        <v>7</v>
      </c>
      <c r="B12" s="16" t="s">
        <v>16</v>
      </c>
      <c r="C12" s="17">
        <v>0</v>
      </c>
      <c r="D12" s="17">
        <v>0</v>
      </c>
      <c r="E12" s="18">
        <v>0</v>
      </c>
      <c r="F12" s="18">
        <v>0</v>
      </c>
      <c r="G12" s="19">
        <v>0</v>
      </c>
      <c r="H12" s="18">
        <v>0</v>
      </c>
      <c r="I12" s="19">
        <v>0</v>
      </c>
      <c r="J12" s="19">
        <v>1272.5</v>
      </c>
    </row>
    <row r="13" spans="1:10" x14ac:dyDescent="0.3">
      <c r="A13" s="15">
        <v>8</v>
      </c>
      <c r="B13" s="16" t="s">
        <v>17</v>
      </c>
      <c r="C13" s="17">
        <v>0</v>
      </c>
      <c r="D13" s="17">
        <v>0</v>
      </c>
      <c r="E13" s="18">
        <v>0</v>
      </c>
      <c r="F13" s="18">
        <v>0</v>
      </c>
      <c r="G13" s="19">
        <v>0</v>
      </c>
      <c r="H13" s="18">
        <v>0</v>
      </c>
      <c r="I13" s="19">
        <v>0</v>
      </c>
      <c r="J13" s="19">
        <v>0</v>
      </c>
    </row>
    <row r="14" spans="1:10" x14ac:dyDescent="0.3">
      <c r="A14" s="15">
        <v>9</v>
      </c>
      <c r="B14" s="16" t="s">
        <v>18</v>
      </c>
      <c r="C14" s="17">
        <v>0</v>
      </c>
      <c r="D14" s="17">
        <v>6.6</v>
      </c>
      <c r="E14" s="18">
        <v>0</v>
      </c>
      <c r="F14" s="18">
        <v>0</v>
      </c>
      <c r="G14" s="19">
        <v>0</v>
      </c>
      <c r="H14" s="18">
        <v>0</v>
      </c>
      <c r="I14" s="19">
        <v>0</v>
      </c>
      <c r="J14" s="19">
        <v>0</v>
      </c>
    </row>
    <row r="15" spans="1:10" x14ac:dyDescent="0.3">
      <c r="A15" s="15">
        <v>10</v>
      </c>
      <c r="B15" s="16" t="s">
        <v>19</v>
      </c>
      <c r="C15" s="17">
        <v>0</v>
      </c>
      <c r="D15" s="17">
        <v>21</v>
      </c>
      <c r="E15" s="18">
        <v>0</v>
      </c>
      <c r="F15" s="18">
        <v>0</v>
      </c>
      <c r="G15" s="19">
        <v>0</v>
      </c>
      <c r="H15" s="18">
        <v>5.3</v>
      </c>
      <c r="I15" s="19">
        <v>0</v>
      </c>
      <c r="J15" s="19">
        <v>11.2</v>
      </c>
    </row>
    <row r="16" spans="1:10" x14ac:dyDescent="0.3">
      <c r="A16" s="15">
        <v>11</v>
      </c>
      <c r="B16" s="16" t="s">
        <v>20</v>
      </c>
      <c r="C16" s="17">
        <v>0</v>
      </c>
      <c r="D16" s="17">
        <v>2.8</v>
      </c>
      <c r="E16" s="18">
        <v>0</v>
      </c>
      <c r="F16" s="18">
        <v>0</v>
      </c>
      <c r="G16" s="19">
        <v>0</v>
      </c>
      <c r="H16" s="18">
        <v>29.1</v>
      </c>
      <c r="I16" s="19">
        <v>0</v>
      </c>
      <c r="J16" s="19">
        <v>7.8</v>
      </c>
    </row>
    <row r="17" spans="1:10" x14ac:dyDescent="0.3">
      <c r="A17" s="15">
        <v>12</v>
      </c>
      <c r="B17" s="16" t="s">
        <v>21</v>
      </c>
      <c r="C17" s="17">
        <v>8.9</v>
      </c>
      <c r="D17" s="17">
        <v>30</v>
      </c>
      <c r="E17" s="18">
        <v>0</v>
      </c>
      <c r="F17" s="18">
        <v>0</v>
      </c>
      <c r="G17" s="19">
        <f>8/10</f>
        <v>0.8</v>
      </c>
      <c r="H17" s="18">
        <v>0</v>
      </c>
      <c r="I17" s="19">
        <v>0</v>
      </c>
      <c r="J17" s="19">
        <v>13.8</v>
      </c>
    </row>
    <row r="18" spans="1:10" x14ac:dyDescent="0.3">
      <c r="A18" s="15">
        <v>13</v>
      </c>
      <c r="B18" s="16" t="s">
        <v>22</v>
      </c>
      <c r="C18" s="17">
        <v>0</v>
      </c>
      <c r="D18" s="17">
        <v>0</v>
      </c>
      <c r="E18" s="18">
        <v>0</v>
      </c>
      <c r="F18" s="18">
        <v>0</v>
      </c>
      <c r="G18" s="19">
        <v>0</v>
      </c>
      <c r="H18" s="18">
        <v>0</v>
      </c>
      <c r="I18" s="19">
        <v>0</v>
      </c>
      <c r="J18" s="19">
        <v>0</v>
      </c>
    </row>
    <row r="19" spans="1:10" x14ac:dyDescent="0.3">
      <c r="A19" s="15">
        <v>14</v>
      </c>
      <c r="B19" s="16" t="s">
        <v>23</v>
      </c>
      <c r="C19" s="17">
        <v>0</v>
      </c>
      <c r="D19" s="17">
        <v>298</v>
      </c>
      <c r="E19" s="18">
        <v>0</v>
      </c>
      <c r="F19" s="18">
        <v>2835</v>
      </c>
      <c r="G19" s="19">
        <f>3600/10</f>
        <v>360</v>
      </c>
      <c r="H19" s="18">
        <v>440</v>
      </c>
      <c r="I19" s="19">
        <v>0</v>
      </c>
      <c r="J19" s="19">
        <v>453.2</v>
      </c>
    </row>
    <row r="20" spans="1:10" x14ac:dyDescent="0.3">
      <c r="A20" s="15">
        <v>15</v>
      </c>
      <c r="B20" s="16" t="s">
        <v>24</v>
      </c>
      <c r="C20" s="17">
        <v>0</v>
      </c>
      <c r="D20" s="17">
        <v>377.5</v>
      </c>
      <c r="E20" s="18">
        <v>0</v>
      </c>
      <c r="F20" s="18">
        <v>3400</v>
      </c>
      <c r="G20" s="19">
        <f>4200/10</f>
        <v>420</v>
      </c>
      <c r="H20" s="18">
        <v>117.5</v>
      </c>
      <c r="I20" s="19">
        <v>162</v>
      </c>
      <c r="J20" s="19">
        <v>2880.2</v>
      </c>
    </row>
    <row r="21" spans="1:10" x14ac:dyDescent="0.3">
      <c r="A21" s="15">
        <v>16</v>
      </c>
      <c r="B21" s="16" t="s">
        <v>25</v>
      </c>
      <c r="C21" s="17">
        <v>0</v>
      </c>
      <c r="D21" s="17">
        <v>6159.8</v>
      </c>
      <c r="E21" s="18">
        <v>49806.5</v>
      </c>
      <c r="F21" s="18">
        <v>27965</v>
      </c>
      <c r="G21" s="19">
        <f>42560/10</f>
        <v>4256</v>
      </c>
      <c r="H21" s="18">
        <v>9059.4</v>
      </c>
      <c r="I21" s="19">
        <v>269</v>
      </c>
      <c r="J21" s="19">
        <v>7651.5</v>
      </c>
    </row>
    <row r="22" spans="1:10" x14ac:dyDescent="0.3">
      <c r="A22" s="15">
        <v>17</v>
      </c>
      <c r="B22" s="16" t="s">
        <v>26</v>
      </c>
      <c r="C22" s="17">
        <v>41.8</v>
      </c>
      <c r="D22" s="17">
        <v>0</v>
      </c>
      <c r="E22" s="18">
        <v>73473.399999999994</v>
      </c>
      <c r="F22" s="18">
        <v>41480</v>
      </c>
      <c r="G22" s="19">
        <v>0</v>
      </c>
      <c r="H22" s="18">
        <v>0</v>
      </c>
      <c r="I22" s="19">
        <v>409.5</v>
      </c>
      <c r="J22" s="19">
        <v>0</v>
      </c>
    </row>
    <row r="23" spans="1:10" x14ac:dyDescent="0.3">
      <c r="A23" s="15">
        <v>18</v>
      </c>
      <c r="B23" s="16" t="s">
        <v>27</v>
      </c>
      <c r="C23" s="17">
        <v>0</v>
      </c>
      <c r="D23" s="17">
        <v>104.6</v>
      </c>
      <c r="E23" s="18">
        <v>2448.6</v>
      </c>
      <c r="F23" s="18">
        <v>4500</v>
      </c>
      <c r="G23" s="19">
        <v>0</v>
      </c>
      <c r="H23" s="18">
        <v>42.9</v>
      </c>
      <c r="I23" s="19">
        <v>0</v>
      </c>
      <c r="J23" s="19">
        <v>94.1</v>
      </c>
    </row>
    <row r="24" spans="1:10" x14ac:dyDescent="0.3">
      <c r="A24" s="15">
        <v>19</v>
      </c>
      <c r="B24" s="16" t="s">
        <v>28</v>
      </c>
      <c r="C24" s="17">
        <v>0</v>
      </c>
      <c r="D24" s="17">
        <v>644</v>
      </c>
      <c r="E24" s="18">
        <v>364</v>
      </c>
      <c r="F24" s="18">
        <v>2975</v>
      </c>
      <c r="G24" s="19">
        <f>4000/10</f>
        <v>400</v>
      </c>
      <c r="H24" s="18">
        <v>227.9</v>
      </c>
      <c r="I24" s="19">
        <v>14</v>
      </c>
      <c r="J24" s="19">
        <v>241.2</v>
      </c>
    </row>
    <row r="25" spans="1:10" x14ac:dyDescent="0.3">
      <c r="A25" s="15">
        <v>20</v>
      </c>
      <c r="B25" s="16" t="s">
        <v>29</v>
      </c>
      <c r="C25" s="17">
        <v>0</v>
      </c>
      <c r="D25" s="17">
        <v>47.1</v>
      </c>
      <c r="E25" s="18">
        <v>0</v>
      </c>
      <c r="F25" s="18">
        <v>0</v>
      </c>
      <c r="G25" s="19">
        <v>0</v>
      </c>
      <c r="H25" s="18">
        <v>0</v>
      </c>
      <c r="I25" s="19">
        <v>0</v>
      </c>
      <c r="J25" s="19">
        <v>47.1</v>
      </c>
    </row>
    <row r="26" spans="1:10" x14ac:dyDescent="0.3">
      <c r="A26" s="20" t="s">
        <v>30</v>
      </c>
      <c r="B26" s="10"/>
      <c r="C26" s="21">
        <f t="shared" ref="C26:J26" si="0">SUM(C6:C25)</f>
        <v>85.8</v>
      </c>
      <c r="D26" s="21">
        <f t="shared" si="0"/>
        <v>17068.400000000001</v>
      </c>
      <c r="E26" s="21">
        <f t="shared" si="0"/>
        <v>126092.5</v>
      </c>
      <c r="F26" s="21">
        <f t="shared" si="0"/>
        <v>83155</v>
      </c>
      <c r="G26" s="21">
        <f t="shared" si="0"/>
        <v>5436.8</v>
      </c>
      <c r="H26" s="21">
        <f t="shared" si="0"/>
        <v>11496.899999999998</v>
      </c>
      <c r="I26" s="21">
        <f t="shared" si="0"/>
        <v>854.5</v>
      </c>
      <c r="J26" s="21">
        <f t="shared" si="0"/>
        <v>13199.800000000001</v>
      </c>
    </row>
    <row r="27" spans="1:10" x14ac:dyDescent="0.3">
      <c r="A27" s="22"/>
      <c r="B27" s="22"/>
      <c r="C27" s="22"/>
      <c r="D27" s="22"/>
      <c r="E27" s="22"/>
      <c r="F27" s="22"/>
      <c r="G27" s="22"/>
      <c r="H27" s="22"/>
      <c r="I27" s="22"/>
      <c r="J27" s="22"/>
    </row>
    <row r="28" spans="1:10" x14ac:dyDescent="0.3">
      <c r="A28" s="23" t="s">
        <v>31</v>
      </c>
      <c r="B28" s="22"/>
      <c r="C28" s="22"/>
      <c r="D28" s="22"/>
      <c r="E28" s="22"/>
      <c r="F28" s="22"/>
      <c r="G28" s="22"/>
      <c r="H28" s="22"/>
      <c r="I28" s="22"/>
      <c r="J28" s="22"/>
    </row>
    <row r="29" spans="1:10" x14ac:dyDescent="0.3">
      <c r="A29" s="23" t="s">
        <v>32</v>
      </c>
      <c r="B29" s="22"/>
      <c r="C29" s="22"/>
      <c r="D29" s="22"/>
      <c r="E29" s="22"/>
      <c r="F29" s="22"/>
      <c r="G29" s="22"/>
      <c r="H29" s="22"/>
      <c r="I29" s="22"/>
      <c r="J29" s="22"/>
    </row>
    <row r="30" spans="1:10" x14ac:dyDescent="0.3">
      <c r="A30" s="22"/>
      <c r="B30" s="23" t="s">
        <v>33</v>
      </c>
      <c r="C30" s="22"/>
      <c r="D30" s="22"/>
      <c r="E30" s="22"/>
      <c r="F30" s="22"/>
      <c r="G30" s="22"/>
      <c r="H30" s="22"/>
      <c r="I30" s="22"/>
      <c r="J30" s="22"/>
    </row>
    <row r="31" spans="1:10" x14ac:dyDescent="0.3">
      <c r="A31" s="22"/>
      <c r="B31" s="23"/>
      <c r="C31" s="22"/>
      <c r="D31" s="22"/>
      <c r="E31" s="22"/>
      <c r="F31" s="22"/>
      <c r="G31" s="22"/>
      <c r="H31" s="22"/>
      <c r="I31" s="22"/>
      <c r="J31" s="22"/>
    </row>
  </sheetData>
  <mergeCells count="3">
    <mergeCell ref="A4:B4"/>
    <mergeCell ref="A5:B5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2025-07-09T03:41:44Z</dcterms:created>
  <dcterms:modified xsi:type="dcterms:W3CDTF">2025-07-09T03:42:39Z</dcterms:modified>
</cp:coreProperties>
</file>