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2EB8FB51-4E7A-44A1-A60B-E1A192F324EC}" xr6:coauthVersionLast="47" xr6:coauthVersionMax="47" xr10:uidLastSave="{00000000-0000-0000-0000-000000000000}"/>
  <bookViews>
    <workbookView xWindow="28680" yWindow="-120" windowWidth="29040" windowHeight="15720" xr2:uid="{7E94AFD0-EDFA-4D21-A29F-3593817D63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<sst xmlns="http://schemas.openxmlformats.org/spreadsheetml/2006/main" count="74" uniqueCount="58">
  <si>
    <t xml:space="preserve">Produksi dan Nilai Produksi Perikanan Tangkap Perairan Umum  Menurut Kabupaten /Kota, Kecamataan dan Lokasi </t>
  </si>
  <si>
    <t>Tabel : 5.6.2</t>
  </si>
  <si>
    <t>Table</t>
  </si>
  <si>
    <t>Di Kabupaten Banjarnegara Tahun 2024</t>
  </si>
  <si>
    <t>Lokasi</t>
  </si>
  <si>
    <r>
      <rPr>
        <sz val="11"/>
        <color theme="1"/>
        <rFont val="Calibri"/>
        <family val="2"/>
      </rPr>
      <t xml:space="preserve">Kecamatan   </t>
    </r>
    <r>
      <rPr>
        <i/>
        <sz val="11"/>
        <color theme="1"/>
        <rFont val="Calibri"/>
        <family val="2"/>
      </rPr>
      <t xml:space="preserve"> Subdistrict</t>
    </r>
  </si>
  <si>
    <t>Perairan Umum Waduk</t>
  </si>
  <si>
    <t>Perairan Umum Sungai</t>
  </si>
  <si>
    <t>Perairan Umum Telaga/Rawa</t>
  </si>
  <si>
    <t>...........................</t>
  </si>
  <si>
    <t>.................................</t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</si>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</sst>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_-;_-@"/>
    <numFmt numFmtId="165" formatCode="_-* #,##0_-;\-* #,##0_-;_-* &quot;-&quot;_-;_-@"/>
    <numFmt numFmtId="168" formatCode="_(* #,##0.00_);_(* \(#,##0.00\);_(* &quot;-&quot;??_);_(@_)"/>
    <numFmt numFmtId="169" formatCode="_(* #,##0_);_(* \(#,##0\);_(* &quot;-&quot;??_);_(@_)"/>
    <numFmt numFmtId="170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 tint="0.39997558519241921"/>
        <bgColor rgb="FF92D050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0" fontId="9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1" applyFont="1"/>
    <xf numFmtId="0" fontId="1" fillId="0" borderId="0" xfId="1"/>
    <xf numFmtId="164" fontId="3" fillId="0" borderId="0" xfId="1" applyNumberFormat="1" applyFont="1"/>
    <xf numFmtId="164" fontId="2" fillId="0" borderId="0" xfId="1" applyNumberFormat="1" applyFont="1"/>
    <xf numFmtId="164" fontId="5" fillId="0" borderId="0" xfId="1" applyNumberFormat="1" applyFont="1"/>
    <xf numFmtId="164" fontId="4" fillId="0" borderId="0" xfId="1" applyNumberFormat="1" applyFont="1"/>
    <xf numFmtId="0" fontId="1" fillId="0" borderId="0" xfId="1"/>
    <xf numFmtId="164" fontId="6" fillId="2" borderId="1" xfId="1" applyNumberFormat="1" applyFont="1" applyFill="1" applyBorder="1" applyAlignment="1">
      <alignment vertical="top"/>
    </xf>
    <xf numFmtId="164" fontId="4" fillId="2" borderId="1" xfId="1" applyNumberFormat="1" applyFont="1" applyFill="1" applyBorder="1"/>
    <xf numFmtId="164" fontId="5" fillId="0" borderId="1" xfId="1" applyNumberFormat="1" applyFont="1" applyBorder="1"/>
    <xf numFmtId="164" fontId="4" fillId="0" borderId="1" xfId="1" applyNumberFormat="1" applyFont="1" applyBorder="1"/>
    <xf numFmtId="164" fontId="7" fillId="0" borderId="0" xfId="1" applyNumberFormat="1" applyFont="1" applyAlignment="1">
      <alignment horizontal="center" wrapText="1"/>
    </xf>
    <xf numFmtId="164" fontId="3" fillId="0" borderId="2" xfId="1" applyNumberFormat="1" applyFont="1" applyBorder="1" applyAlignment="1">
      <alignment horizontal="center" wrapText="1"/>
    </xf>
    <xf numFmtId="0" fontId="8" fillId="0" borderId="2" xfId="1" applyFont="1" applyBorder="1"/>
    <xf numFmtId="164" fontId="3" fillId="0" borderId="0" xfId="1" applyNumberFormat="1" applyFont="1" applyAlignment="1">
      <alignment horizontal="center" wrapText="1"/>
    </xf>
    <xf numFmtId="0" fontId="8" fillId="0" borderId="1" xfId="1" applyFont="1" applyBorder="1"/>
    <xf numFmtId="164" fontId="3" fillId="0" borderId="2" xfId="1" applyNumberFormat="1" applyFont="1" applyBorder="1" applyAlignment="1">
      <alignment horizontal="center" wrapText="1"/>
    </xf>
    <xf numFmtId="164" fontId="3" fillId="0" borderId="2" xfId="1" quotePrefix="1" applyNumberFormat="1" applyFont="1" applyBorder="1" applyAlignment="1">
      <alignment horizontal="center"/>
    </xf>
    <xf numFmtId="164" fontId="3" fillId="0" borderId="2" xfId="1" quotePrefix="1" applyNumberFormat="1" applyFont="1" applyBorder="1" applyAlignment="1">
      <alignment horizontal="center"/>
    </xf>
    <xf numFmtId="164" fontId="7" fillId="0" borderId="0" xfId="1" applyNumberFormat="1" applyFont="1" applyAlignment="1">
      <alignment horizontal="right"/>
    </xf>
    <xf numFmtId="164" fontId="3" fillId="0" borderId="0" xfId="1" quotePrefix="1" applyNumberFormat="1" applyFont="1" applyAlignment="1">
      <alignment horizontal="center"/>
    </xf>
    <xf numFmtId="165" fontId="7" fillId="0" borderId="0" xfId="1" applyNumberFormat="1" applyFont="1" applyAlignment="1">
      <alignment horizontal="right"/>
    </xf>
    <xf numFmtId="165" fontId="7" fillId="0" borderId="0" xfId="1" applyNumberFormat="1" applyFont="1" applyAlignment="1">
      <alignment vertical="center"/>
    </xf>
    <xf numFmtId="165" fontId="3" fillId="0" borderId="0" xfId="1" applyNumberFormat="1" applyFont="1"/>
    <xf numFmtId="169" fontId="10" fillId="0" borderId="0" xfId="4" applyNumberFormat="1" applyFont="1" applyFill="1" applyBorder="1" applyAlignment="1"/>
    <xf numFmtId="164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right"/>
    </xf>
    <xf numFmtId="164" fontId="4" fillId="0" borderId="2" xfId="1" applyNumberFormat="1" applyFont="1" applyBorder="1"/>
    <xf numFmtId="164" fontId="4" fillId="3" borderId="1" xfId="1" applyNumberFormat="1" applyFont="1" applyFill="1" applyBorder="1"/>
    <xf numFmtId="164" fontId="5" fillId="3" borderId="3" xfId="1" applyNumberFormat="1" applyFont="1" applyFill="1" applyBorder="1"/>
    <xf numFmtId="164" fontId="4" fillId="3" borderId="3" xfId="1" applyNumberFormat="1" applyFont="1" applyFill="1" applyBorder="1"/>
    <xf numFmtId="165" fontId="11" fillId="4" borderId="3" xfId="1" applyNumberFormat="1" applyFont="1" applyFill="1" applyBorder="1"/>
    <xf numFmtId="164" fontId="11" fillId="4" borderId="3" xfId="1" applyNumberFormat="1" applyFont="1" applyFill="1" applyBorder="1"/>
    <xf numFmtId="164" fontId="5" fillId="3" borderId="3" xfId="1" applyNumberFormat="1" applyFont="1" applyFill="1" applyBorder="1" applyAlignment="1">
      <alignment horizontal="right"/>
    </xf>
  </cellXfs>
  <cellStyles count="6">
    <cellStyle name="Comma [0] 4" xfId="5" xr:uid="{AF707093-E383-44D1-85D7-9ADF048CDB5A}"/>
    <cellStyle name="Comma 2" xfId="4" xr:uid="{FE40DB71-C326-463E-BFBD-21C16F217AAC}"/>
    <cellStyle name="Comma 3" xfId="3" xr:uid="{5CC4AD91-E00E-4A22-95C5-F6BAEA7F20FA}"/>
    <cellStyle name="Normal" xfId="0" builtinId="0"/>
    <cellStyle name="Normal 2" xfId="2" xr:uid="{DE930FD5-F979-4BE0-ABF4-0B9B430F5DF2}"/>
    <cellStyle name="Normal 4" xfId="1" xr:uid="{909581FC-3D71-4E2B-97C8-136C6BB220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E22E0-6D9E-4734-901C-E659F36B9E3A}">
  <dimension ref="A1:M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" width="7.21875" style="7" customWidth="1"/>
    <col min="2" max="2" width="14.44140625" style="7"/>
    <col min="3" max="3" width="7.5546875" style="7" customWidth="1"/>
    <col min="4" max="16384" width="14.44140625" style="7"/>
  </cols>
  <sheetData>
    <row r="1" spans="1:13" ht="12.75" customHeight="1" x14ac:dyDescent="0.3">
      <c r="A1" s="4" t="s">
        <v>1</v>
      </c>
      <c r="B1" s="2"/>
      <c r="C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2.75" customHeight="1" thickBot="1" x14ac:dyDescent="0.35">
      <c r="A2" s="8" t="s">
        <v>2</v>
      </c>
      <c r="B2" s="9"/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thickTop="1" x14ac:dyDescent="0.3">
      <c r="A3" s="12" t="s">
        <v>5</v>
      </c>
      <c r="B3" s="2"/>
      <c r="C3" s="2"/>
      <c r="D3" s="13" t="s">
        <v>4</v>
      </c>
      <c r="E3" s="14"/>
      <c r="F3" s="14"/>
      <c r="G3" s="14"/>
      <c r="H3" s="14"/>
      <c r="I3" s="14"/>
      <c r="J3" s="14"/>
      <c r="K3" s="14"/>
      <c r="L3" s="14"/>
      <c r="M3" s="14"/>
    </row>
    <row r="4" spans="1:13" ht="12.75" customHeight="1" x14ac:dyDescent="0.3">
      <c r="A4" s="2"/>
      <c r="B4" s="2"/>
      <c r="C4" s="2"/>
      <c r="D4" s="15" t="s">
        <v>6</v>
      </c>
      <c r="E4" s="2"/>
      <c r="F4" s="15" t="s">
        <v>7</v>
      </c>
      <c r="G4" s="2"/>
      <c r="H4" s="15" t="s">
        <v>8</v>
      </c>
      <c r="I4" s="2"/>
      <c r="J4" s="13" t="s">
        <v>9</v>
      </c>
      <c r="K4" s="14"/>
      <c r="L4" s="13" t="s">
        <v>10</v>
      </c>
      <c r="M4" s="14"/>
    </row>
    <row r="5" spans="1:13" ht="31.5" customHeight="1" thickBot="1" x14ac:dyDescent="0.35">
      <c r="A5" s="16"/>
      <c r="B5" s="16"/>
      <c r="C5" s="16"/>
      <c r="D5" s="17" t="s">
        <v>11</v>
      </c>
      <c r="E5" s="17" t="s">
        <v>12</v>
      </c>
      <c r="F5" s="17" t="s">
        <v>11</v>
      </c>
      <c r="G5" s="17" t="s">
        <v>12</v>
      </c>
      <c r="H5" s="17" t="s">
        <v>11</v>
      </c>
      <c r="I5" s="17" t="s">
        <v>12</v>
      </c>
      <c r="J5" s="17" t="s">
        <v>11</v>
      </c>
      <c r="K5" s="17" t="s">
        <v>12</v>
      </c>
      <c r="L5" s="17" t="s">
        <v>11</v>
      </c>
      <c r="M5" s="17" t="s">
        <v>12</v>
      </c>
    </row>
    <row r="6" spans="1:13" ht="19.5" customHeight="1" thickTop="1" x14ac:dyDescent="0.3">
      <c r="A6" s="18" t="s">
        <v>13</v>
      </c>
      <c r="B6" s="14"/>
      <c r="C6" s="14"/>
      <c r="D6" s="19" t="s">
        <v>14</v>
      </c>
      <c r="E6" s="19" t="s">
        <v>15</v>
      </c>
      <c r="F6" s="19" t="s">
        <v>14</v>
      </c>
      <c r="G6" s="19" t="s">
        <v>15</v>
      </c>
      <c r="H6" s="19" t="s">
        <v>14</v>
      </c>
      <c r="I6" s="19" t="s">
        <v>15</v>
      </c>
      <c r="J6" s="19" t="s">
        <v>14</v>
      </c>
      <c r="K6" s="19" t="s">
        <v>15</v>
      </c>
      <c r="L6" s="19" t="s">
        <v>14</v>
      </c>
      <c r="M6" s="19" t="s">
        <v>15</v>
      </c>
    </row>
    <row r="7" spans="1:13" ht="66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21" customHeight="1" x14ac:dyDescent="0.3">
      <c r="A8" s="21" t="s">
        <v>16</v>
      </c>
      <c r="B8" s="3" t="s">
        <v>17</v>
      </c>
      <c r="C8" s="6"/>
      <c r="D8" s="20">
        <v>0</v>
      </c>
      <c r="E8" s="20">
        <v>0</v>
      </c>
      <c r="F8" s="22">
        <v>0</v>
      </c>
      <c r="G8" s="22">
        <v>0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</row>
    <row r="9" spans="1:13" ht="7.5" customHeight="1" x14ac:dyDescent="0.3">
      <c r="A9" s="21" t="s">
        <v>18</v>
      </c>
      <c r="B9" s="3" t="s">
        <v>19</v>
      </c>
      <c r="C9" s="6"/>
      <c r="D9" s="20">
        <v>0</v>
      </c>
      <c r="E9" s="20">
        <v>0</v>
      </c>
      <c r="F9" s="22">
        <v>34109</v>
      </c>
      <c r="G9" s="22">
        <v>698541.0182967115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</row>
    <row r="10" spans="1:13" ht="13.5" customHeight="1" x14ac:dyDescent="0.3">
      <c r="A10" s="21" t="s">
        <v>20</v>
      </c>
      <c r="B10" s="3" t="s">
        <v>21</v>
      </c>
      <c r="C10" s="6"/>
      <c r="D10" s="20">
        <v>0</v>
      </c>
      <c r="E10" s="20">
        <v>0</v>
      </c>
      <c r="F10" s="22">
        <v>32465</v>
      </c>
      <c r="G10" s="22">
        <v>662823.85234371165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</row>
    <row r="11" spans="1:13" ht="13.5" customHeight="1" x14ac:dyDescent="0.3">
      <c r="A11" s="21" t="s">
        <v>22</v>
      </c>
      <c r="B11" s="3" t="s">
        <v>23</v>
      </c>
      <c r="C11" s="6"/>
      <c r="D11" s="20">
        <v>0</v>
      </c>
      <c r="E11" s="20">
        <v>0</v>
      </c>
      <c r="F11" s="23">
        <v>45329</v>
      </c>
      <c r="G11" s="22">
        <v>890928.44543631887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</row>
    <row r="12" spans="1:13" ht="13.5" customHeight="1" x14ac:dyDescent="0.3">
      <c r="A12" s="21" t="s">
        <v>24</v>
      </c>
      <c r="B12" s="3" t="s">
        <v>25</v>
      </c>
      <c r="C12" s="6"/>
      <c r="D12" s="24">
        <v>212914</v>
      </c>
      <c r="E12" s="25">
        <v>5073736.9239999996</v>
      </c>
      <c r="F12" s="23">
        <v>0</v>
      </c>
      <c r="G12" s="22">
        <v>0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</row>
    <row r="13" spans="1:13" ht="13.5" customHeight="1" x14ac:dyDescent="0.3">
      <c r="A13" s="21" t="s">
        <v>26</v>
      </c>
      <c r="B13" s="3" t="s">
        <v>27</v>
      </c>
      <c r="C13" s="6"/>
      <c r="D13" s="20">
        <v>0</v>
      </c>
      <c r="E13" s="25">
        <v>0</v>
      </c>
      <c r="F13" s="23">
        <v>0</v>
      </c>
      <c r="G13" s="22">
        <v>0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</row>
    <row r="14" spans="1:13" ht="13.5" customHeight="1" x14ac:dyDescent="0.3">
      <c r="A14" s="21" t="s">
        <v>28</v>
      </c>
      <c r="B14" s="3" t="s">
        <v>29</v>
      </c>
      <c r="C14" s="6"/>
      <c r="D14" s="20">
        <v>0</v>
      </c>
      <c r="E14" s="25">
        <v>0</v>
      </c>
      <c r="F14" s="23">
        <v>0</v>
      </c>
      <c r="G14" s="22">
        <v>0</v>
      </c>
      <c r="H14" s="24">
        <v>0</v>
      </c>
      <c r="I14" s="24">
        <v>0</v>
      </c>
      <c r="J14" s="20">
        <v>0</v>
      </c>
      <c r="K14" s="20">
        <v>0</v>
      </c>
      <c r="L14" s="20">
        <v>0</v>
      </c>
      <c r="M14" s="20">
        <v>0</v>
      </c>
    </row>
    <row r="15" spans="1:13" ht="13.5" customHeight="1" x14ac:dyDescent="0.3">
      <c r="A15" s="21" t="s">
        <v>30</v>
      </c>
      <c r="B15" s="3" t="s">
        <v>31</v>
      </c>
      <c r="C15" s="6"/>
      <c r="D15" s="20">
        <v>0</v>
      </c>
      <c r="E15" s="25">
        <v>0</v>
      </c>
      <c r="F15" s="23">
        <v>43309</v>
      </c>
      <c r="G15" s="22">
        <v>990512.50741362956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</row>
    <row r="16" spans="1:13" ht="13.5" customHeight="1" x14ac:dyDescent="0.3">
      <c r="A16" s="21" t="s">
        <v>32</v>
      </c>
      <c r="B16" s="3" t="s">
        <v>33</v>
      </c>
      <c r="C16" s="6"/>
      <c r="D16" s="20">
        <v>0</v>
      </c>
      <c r="E16" s="25">
        <v>0</v>
      </c>
      <c r="F16" s="23">
        <v>0</v>
      </c>
      <c r="G16" s="22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</row>
    <row r="17" spans="1:13" ht="13.5" customHeight="1" x14ac:dyDescent="0.3">
      <c r="A17" s="21" t="s">
        <v>34</v>
      </c>
      <c r="B17" s="3" t="s">
        <v>35</v>
      </c>
      <c r="C17" s="6"/>
      <c r="D17" s="20">
        <v>0</v>
      </c>
      <c r="E17" s="25">
        <v>0</v>
      </c>
      <c r="F17" s="23">
        <v>0</v>
      </c>
      <c r="G17" s="22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</row>
    <row r="18" spans="1:13" ht="13.5" customHeight="1" x14ac:dyDescent="0.3">
      <c r="A18" s="26" t="s">
        <v>36</v>
      </c>
      <c r="B18" s="3" t="s">
        <v>37</v>
      </c>
      <c r="C18" s="6"/>
      <c r="D18" s="27">
        <v>179270</v>
      </c>
      <c r="E18" s="25">
        <v>4307353</v>
      </c>
      <c r="F18" s="23">
        <v>0</v>
      </c>
      <c r="G18" s="22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 spans="1:13" ht="13.5" customHeight="1" x14ac:dyDescent="0.3">
      <c r="A19" s="26" t="s">
        <v>38</v>
      </c>
      <c r="B19" s="3" t="s">
        <v>39</v>
      </c>
      <c r="C19" s="6"/>
      <c r="D19" s="20">
        <v>0</v>
      </c>
      <c r="E19" s="20">
        <v>0</v>
      </c>
      <c r="F19" s="23">
        <v>33606</v>
      </c>
      <c r="G19" s="22">
        <v>659497.2623243198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 spans="1:13" ht="13.5" customHeight="1" x14ac:dyDescent="0.3">
      <c r="A20" s="26" t="s">
        <v>40</v>
      </c>
      <c r="B20" s="3" t="s">
        <v>41</v>
      </c>
      <c r="C20" s="6"/>
      <c r="D20" s="20">
        <v>0</v>
      </c>
      <c r="E20" s="20">
        <v>0</v>
      </c>
      <c r="F20" s="23">
        <v>0</v>
      </c>
      <c r="G20" s="22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</row>
    <row r="21" spans="1:13" ht="13.5" customHeight="1" x14ac:dyDescent="0.3">
      <c r="A21" s="26" t="s">
        <v>42</v>
      </c>
      <c r="B21" s="3" t="s">
        <v>43</v>
      </c>
      <c r="C21" s="6"/>
      <c r="D21" s="20">
        <v>0</v>
      </c>
      <c r="E21" s="20">
        <v>0</v>
      </c>
      <c r="F21" s="23">
        <v>0</v>
      </c>
      <c r="G21" s="22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</row>
    <row r="22" spans="1:13" ht="13.5" customHeight="1" x14ac:dyDescent="0.3">
      <c r="A22" s="26" t="s">
        <v>44</v>
      </c>
      <c r="B22" s="3" t="s">
        <v>45</v>
      </c>
      <c r="C22" s="6"/>
      <c r="D22" s="20">
        <v>0</v>
      </c>
      <c r="E22" s="20">
        <v>0</v>
      </c>
      <c r="F22" s="23">
        <v>0</v>
      </c>
      <c r="G22" s="22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</row>
    <row r="23" spans="1:13" ht="13.5" customHeight="1" x14ac:dyDescent="0.3">
      <c r="A23" s="26" t="s">
        <v>46</v>
      </c>
      <c r="B23" s="3" t="s">
        <v>47</v>
      </c>
      <c r="C23" s="6"/>
      <c r="D23" s="20">
        <v>0</v>
      </c>
      <c r="E23" s="20">
        <v>0</v>
      </c>
      <c r="F23" s="23">
        <v>102021</v>
      </c>
      <c r="G23" s="22">
        <v>2357078.0375863705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</row>
    <row r="24" spans="1:13" ht="13.5" customHeight="1" x14ac:dyDescent="0.3">
      <c r="A24" s="26" t="s">
        <v>48</v>
      </c>
      <c r="B24" s="3" t="s">
        <v>49</v>
      </c>
      <c r="C24" s="6"/>
      <c r="D24" s="20">
        <v>0</v>
      </c>
      <c r="E24" s="20">
        <v>0</v>
      </c>
      <c r="F24" s="23">
        <v>0</v>
      </c>
      <c r="G24" s="22">
        <v>0</v>
      </c>
      <c r="H24" s="27">
        <v>3955</v>
      </c>
      <c r="I24" s="24">
        <v>86859</v>
      </c>
      <c r="J24" s="20">
        <v>0</v>
      </c>
      <c r="K24" s="20">
        <v>0</v>
      </c>
      <c r="L24" s="20">
        <v>0</v>
      </c>
      <c r="M24" s="20">
        <v>0</v>
      </c>
    </row>
    <row r="25" spans="1:13" ht="13.5" customHeight="1" x14ac:dyDescent="0.3">
      <c r="A25" s="26" t="s">
        <v>50</v>
      </c>
      <c r="B25" s="3" t="s">
        <v>51</v>
      </c>
      <c r="C25" s="6"/>
      <c r="D25" s="20">
        <v>0</v>
      </c>
      <c r="E25" s="20">
        <v>0</v>
      </c>
      <c r="F25" s="23">
        <v>0</v>
      </c>
      <c r="G25" s="22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 spans="1:13" ht="13.5" customHeight="1" x14ac:dyDescent="0.3">
      <c r="A26" s="26" t="s">
        <v>52</v>
      </c>
      <c r="B26" s="3" t="s">
        <v>53</v>
      </c>
      <c r="C26" s="6"/>
      <c r="D26" s="20">
        <v>0</v>
      </c>
      <c r="E26" s="20">
        <v>0</v>
      </c>
      <c r="F26" s="23">
        <v>67781</v>
      </c>
      <c r="G26" s="22">
        <v>1358237.5760947363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</row>
    <row r="27" spans="1:13" ht="13.5" customHeight="1" x14ac:dyDescent="0.3">
      <c r="A27" s="26" t="s">
        <v>54</v>
      </c>
      <c r="B27" s="3" t="s">
        <v>55</v>
      </c>
      <c r="C27" s="6"/>
      <c r="D27" s="20">
        <v>0</v>
      </c>
      <c r="E27" s="20">
        <v>0</v>
      </c>
      <c r="F27" s="23">
        <v>0</v>
      </c>
      <c r="G27" s="22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</row>
    <row r="28" spans="1:13" ht="13.5" customHeight="1" x14ac:dyDescent="0.3">
      <c r="A28" s="28"/>
      <c r="B28" s="28"/>
      <c r="C28" s="28"/>
      <c r="D28" s="3"/>
      <c r="E28" s="3"/>
      <c r="F28" s="3"/>
      <c r="G28" s="3"/>
      <c r="H28" s="3"/>
      <c r="I28" s="3"/>
      <c r="J28" s="20">
        <v>0</v>
      </c>
      <c r="K28" s="20">
        <v>0</v>
      </c>
      <c r="L28" s="20">
        <v>0</v>
      </c>
      <c r="M28" s="20">
        <v>0</v>
      </c>
    </row>
    <row r="29" spans="1:13" ht="13.5" customHeight="1" thickBot="1" x14ac:dyDescent="0.35">
      <c r="A29" s="29"/>
      <c r="B29" s="30" t="s">
        <v>56</v>
      </c>
      <c r="C29" s="31"/>
      <c r="D29" s="32">
        <f t="shared" ref="D29:E29" si="0">SUM(D8:D27)</f>
        <v>392184</v>
      </c>
      <c r="E29" s="32">
        <f t="shared" si="0"/>
        <v>9381089.9239999987</v>
      </c>
      <c r="F29" s="32">
        <f>SUM(F8:F27)</f>
        <v>358620</v>
      </c>
      <c r="G29" s="32">
        <f>SUM(G8:G27)</f>
        <v>7617618.699495798</v>
      </c>
      <c r="H29" s="33">
        <f t="shared" ref="H29:M29" si="1">SUM(H8:H27)</f>
        <v>3955</v>
      </c>
      <c r="I29" s="32">
        <f t="shared" si="1"/>
        <v>86859</v>
      </c>
      <c r="J29" s="34">
        <f t="shared" si="1"/>
        <v>0</v>
      </c>
      <c r="K29" s="34">
        <f t="shared" si="1"/>
        <v>0</v>
      </c>
      <c r="L29" s="34">
        <f t="shared" si="1"/>
        <v>0</v>
      </c>
      <c r="M29" s="34">
        <f t="shared" si="1"/>
        <v>0</v>
      </c>
    </row>
    <row r="30" spans="1:13" ht="9.75" customHeight="1" thickTop="1" x14ac:dyDescent="0.3">
      <c r="A30" s="3" t="s">
        <v>57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3" ht="27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9">
    <mergeCell ref="A6:C6"/>
    <mergeCell ref="D4:E4"/>
    <mergeCell ref="F4:G4"/>
    <mergeCell ref="H4:I4"/>
    <mergeCell ref="J4:K4"/>
    <mergeCell ref="L4:M4"/>
    <mergeCell ref="A3:C5"/>
    <mergeCell ref="D3:M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2025-07-14T07:24:07Z</dcterms:created>
  <dcterms:modified xsi:type="dcterms:W3CDTF">2025-07-14T07:27:04Z</dcterms:modified>
</cp:coreProperties>
</file>