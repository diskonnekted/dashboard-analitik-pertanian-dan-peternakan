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837DED23-B28E-4206-BB35-909DAAD8787C}" xr6:coauthVersionLast="47" xr6:coauthVersionMax="47" xr10:uidLastSave="{00000000-0000-0000-0000-000000000000}"/>
  <bookViews>
    <workbookView xWindow="28680" yWindow="-120" windowWidth="29040" windowHeight="15720" xr2:uid="{E32A0329-17A4-44E7-BCD0-3CCC79525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1" l="1"/>
  <c r="L29" i="1"/>
  <c r="K29" i="1"/>
  <c r="J29" i="1"/>
  <c r="H29" i="1"/>
  <c r="G29" i="1"/>
  <c r="F29" i="1"/>
  <c r="E29" i="1"/>
  <c r="D29" i="1"/>
  <c r="I14" i="1"/>
  <c r="I29" i="1" s="1"/>
</calcChain>
</file>

<file path=xl/sharedStrings.xml><?xml version="1.0" encoding="utf-8"?>
<sst xmlns="http://schemas.openxmlformats.org/spreadsheetml/2006/main" count="74" uniqueCount="58">
  <si>
    <t xml:space="preserve">Produksi dan Nilai Produksi Perikanan Tangkap Perairan Umum  Menurut Kabupaten /Kota, Kecamataan dan Lokasi </t>
  </si>
  <si>
    <t>Tabel : 5.6.2</t>
  </si>
  <si>
    <t>Table</t>
  </si>
  <si>
    <t>Di Kabupaten Banjarnegara Tahun 2023</t>
  </si>
  <si>
    <t>Lokasi</t>
  </si>
  <si>
    <r>
      <rPr>
        <sz val="11"/>
        <color theme="1"/>
        <rFont val="Calibri"/>
        <family val="2"/>
      </rPr>
      <t xml:space="preserve">Kecamatan   </t>
    </r>
    <r>
      <rPr>
        <i/>
        <sz val="11"/>
        <color theme="1"/>
        <rFont val="Calibri"/>
        <family val="2"/>
      </rPr>
      <t xml:space="preserve"> Subdistrict</t>
    </r>
  </si>
  <si>
    <t>Perairan Umum Waduk</t>
  </si>
  <si>
    <t>Perairan Umum Sungai</t>
  </si>
  <si>
    <t>Perairan Umum Telaga/Rawa</t>
  </si>
  <si>
    <t>...........................</t>
  </si>
  <si>
    <t>.................................</t>
  </si>
  <si>
    <t>Produksi
(kg)</t>
  </si>
  <si>
    <t>Nilai Produksi
(ribu rupiah)</t>
  </si>
  <si>
    <t>(1)</t>
  </si>
  <si>
    <t>(2)</t>
  </si>
  <si>
    <t>(3)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</si>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</sst>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_-;\-* #,##0.00_-;_-* &quot;-&quot;_-;_-@"/>
    <numFmt numFmtId="165" formatCode="_-* #,##0_-;\-* #,##0_-;_-* &quot;-&quot;_-;_-@"/>
    <numFmt numFmtId="168" formatCode="_(* #,##0.00_);_(* \(#,##0.00\);_(* &quot;-&quot;??_);_(@_)"/>
    <numFmt numFmtId="169" formatCode="_(* #,##0_);_(* \(#,##0\);_(* &quot;-&quot;??_);_(@_)"/>
    <numFmt numFmtId="170" formatCode="_(* #,##0_);_(* \(#,##0\);_(* &quot;-&quot;_);_(@_)"/>
  </numFmts>
  <fonts count="12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sz val="10"/>
      <color rgb="FF000000"/>
      <name val="Arial"/>
      <family val="2"/>
    </font>
    <font>
      <sz val="11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0" fontId="1" fillId="0" borderId="0"/>
    <xf numFmtId="0" fontId="9" fillId="0" borderId="0"/>
    <xf numFmtId="168" fontId="9" fillId="0" borderId="0" applyFont="0" applyFill="0" applyBorder="0" applyAlignment="0" applyProtection="0"/>
    <xf numFmtId="168" fontId="9" fillId="0" borderId="0" applyFont="0" applyFill="0" applyBorder="0" applyAlignment="0" applyProtection="0"/>
    <xf numFmtId="170" fontId="9" fillId="0" borderId="0" applyFont="0" applyFill="0" applyBorder="0" applyAlignment="0" applyProtection="0"/>
  </cellStyleXfs>
  <cellXfs count="35">
    <xf numFmtId="0" fontId="0" fillId="0" borderId="0" xfId="0"/>
    <xf numFmtId="0" fontId="4" fillId="0" borderId="0" xfId="1" applyFont="1"/>
    <xf numFmtId="0" fontId="1" fillId="0" borderId="0" xfId="1"/>
    <xf numFmtId="164" fontId="3" fillId="0" borderId="0" xfId="1" applyNumberFormat="1" applyFont="1"/>
    <xf numFmtId="164" fontId="2" fillId="0" borderId="0" xfId="1" applyNumberFormat="1" applyFont="1"/>
    <xf numFmtId="164" fontId="5" fillId="0" borderId="0" xfId="1" applyNumberFormat="1" applyFont="1"/>
    <xf numFmtId="164" fontId="4" fillId="0" borderId="0" xfId="1" applyNumberFormat="1" applyFont="1"/>
    <xf numFmtId="0" fontId="1" fillId="0" borderId="0" xfId="1"/>
    <xf numFmtId="164" fontId="6" fillId="2" borderId="1" xfId="1" applyNumberFormat="1" applyFont="1" applyFill="1" applyBorder="1" applyAlignment="1">
      <alignment vertical="top"/>
    </xf>
    <xf numFmtId="164" fontId="4" fillId="2" borderId="1" xfId="1" applyNumberFormat="1" applyFont="1" applyFill="1" applyBorder="1"/>
    <xf numFmtId="164" fontId="5" fillId="0" borderId="1" xfId="1" applyNumberFormat="1" applyFont="1" applyBorder="1"/>
    <xf numFmtId="164" fontId="4" fillId="0" borderId="1" xfId="1" applyNumberFormat="1" applyFont="1" applyBorder="1"/>
    <xf numFmtId="164" fontId="7" fillId="0" borderId="0" xfId="1" applyNumberFormat="1" applyFont="1" applyAlignment="1">
      <alignment horizontal="center" wrapText="1"/>
    </xf>
    <xf numFmtId="164" fontId="3" fillId="0" borderId="2" xfId="1" applyNumberFormat="1" applyFont="1" applyBorder="1" applyAlignment="1">
      <alignment horizontal="center" wrapText="1"/>
    </xf>
    <xf numFmtId="0" fontId="8" fillId="0" borderId="2" xfId="1" applyFont="1" applyBorder="1"/>
    <xf numFmtId="164" fontId="3" fillId="0" borderId="0" xfId="1" applyNumberFormat="1" applyFont="1" applyAlignment="1">
      <alignment horizontal="center" wrapText="1"/>
    </xf>
    <xf numFmtId="0" fontId="8" fillId="0" borderId="1" xfId="1" applyFont="1" applyBorder="1"/>
    <xf numFmtId="164" fontId="3" fillId="0" borderId="2" xfId="1" applyNumberFormat="1" applyFont="1" applyBorder="1" applyAlignment="1">
      <alignment horizontal="center" wrapText="1"/>
    </xf>
    <xf numFmtId="164" fontId="3" fillId="0" borderId="2" xfId="1" quotePrefix="1" applyNumberFormat="1" applyFont="1" applyBorder="1" applyAlignment="1">
      <alignment horizontal="center"/>
    </xf>
    <xf numFmtId="164" fontId="3" fillId="0" borderId="2" xfId="1" quotePrefix="1" applyNumberFormat="1" applyFont="1" applyBorder="1" applyAlignment="1">
      <alignment horizontal="center"/>
    </xf>
    <xf numFmtId="164" fontId="7" fillId="0" borderId="0" xfId="1" applyNumberFormat="1" applyFont="1" applyAlignment="1">
      <alignment horizontal="right"/>
    </xf>
    <xf numFmtId="164" fontId="3" fillId="0" borderId="0" xfId="1" quotePrefix="1" applyNumberFormat="1" applyFont="1" applyAlignment="1">
      <alignment horizontal="center"/>
    </xf>
    <xf numFmtId="165" fontId="7" fillId="0" borderId="0" xfId="1" applyNumberFormat="1" applyFont="1" applyAlignment="1">
      <alignment horizontal="right"/>
    </xf>
    <xf numFmtId="165" fontId="7" fillId="0" borderId="0" xfId="1" applyNumberFormat="1" applyFont="1" applyAlignment="1">
      <alignment vertical="center"/>
    </xf>
    <xf numFmtId="165" fontId="3" fillId="0" borderId="0" xfId="1" applyNumberFormat="1" applyFont="1"/>
    <xf numFmtId="169" fontId="10" fillId="0" borderId="0" xfId="3" applyNumberFormat="1" applyFont="1" applyFill="1" applyBorder="1" applyAlignment="1"/>
    <xf numFmtId="164" fontId="3" fillId="0" borderId="0" xfId="1" applyNumberFormat="1" applyFont="1" applyAlignment="1">
      <alignment horizontal="center"/>
    </xf>
    <xf numFmtId="165" fontId="3" fillId="0" borderId="0" xfId="1" applyNumberFormat="1" applyFont="1" applyAlignment="1">
      <alignment horizontal="right"/>
    </xf>
    <xf numFmtId="164" fontId="4" fillId="0" borderId="2" xfId="1" applyNumberFormat="1" applyFont="1" applyBorder="1"/>
    <xf numFmtId="164" fontId="4" fillId="3" borderId="1" xfId="1" applyNumberFormat="1" applyFont="1" applyFill="1" applyBorder="1"/>
    <xf numFmtId="164" fontId="5" fillId="3" borderId="2" xfId="1" applyNumberFormat="1" applyFont="1" applyFill="1" applyBorder="1"/>
    <xf numFmtId="164" fontId="4" fillId="3" borderId="2" xfId="1" applyNumberFormat="1" applyFont="1" applyFill="1" applyBorder="1"/>
    <xf numFmtId="165" fontId="11" fillId="0" borderId="3" xfId="1" applyNumberFormat="1" applyFont="1" applyBorder="1"/>
    <xf numFmtId="164" fontId="11" fillId="0" borderId="3" xfId="1" applyNumberFormat="1" applyFont="1" applyBorder="1"/>
    <xf numFmtId="164" fontId="5" fillId="3" borderId="2" xfId="1" applyNumberFormat="1" applyFont="1" applyFill="1" applyBorder="1" applyAlignment="1">
      <alignment horizontal="right"/>
    </xf>
  </cellXfs>
  <cellStyles count="6">
    <cellStyle name="Comma [0] 4" xfId="5" xr:uid="{30AC2B8E-A24D-45D7-BBDD-7BCBF77C9A66}"/>
    <cellStyle name="Comma 2" xfId="4" xr:uid="{0ED8F510-AE34-4C9E-B4B3-A0EF94C3FEF8}"/>
    <cellStyle name="Comma 3" xfId="3" xr:uid="{54067AAC-B967-4E35-A39F-51B0237EB555}"/>
    <cellStyle name="Normal" xfId="0" builtinId="0"/>
    <cellStyle name="Normal 2" xfId="2" xr:uid="{0605198C-4CAE-41B7-A82E-5310DF5178FA}"/>
    <cellStyle name="Normal 4" xfId="1" xr:uid="{44491252-E603-446D-885B-CF9E61A452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3B16F-A94B-4888-A09C-FE1F4B179875}">
  <dimension ref="A1:M1000"/>
  <sheetViews>
    <sheetView tabSelected="1" workbookViewId="0">
      <selection activeCell="C1" sqref="C1"/>
    </sheetView>
  </sheetViews>
  <sheetFormatPr defaultColWidth="14.44140625" defaultRowHeight="13.2" x14ac:dyDescent="0.25"/>
  <cols>
    <col min="1" max="16384" width="14.44140625" style="7"/>
  </cols>
  <sheetData>
    <row r="1" spans="1:13" ht="12.75" customHeight="1" x14ac:dyDescent="0.3">
      <c r="A1" s="4" t="s">
        <v>1</v>
      </c>
      <c r="B1" s="2"/>
      <c r="C1" s="5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2.75" customHeight="1" thickBot="1" x14ac:dyDescent="0.35">
      <c r="A2" s="8" t="s">
        <v>2</v>
      </c>
      <c r="B2" s="9"/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12.75" customHeight="1" thickTop="1" x14ac:dyDescent="0.3">
      <c r="A3" s="12" t="s">
        <v>5</v>
      </c>
      <c r="B3" s="2"/>
      <c r="C3" s="2"/>
      <c r="D3" s="13" t="s">
        <v>4</v>
      </c>
      <c r="E3" s="14"/>
      <c r="F3" s="14"/>
      <c r="G3" s="14"/>
      <c r="H3" s="14"/>
      <c r="I3" s="14"/>
      <c r="J3" s="14"/>
      <c r="K3" s="14"/>
      <c r="L3" s="14"/>
      <c r="M3" s="14"/>
    </row>
    <row r="4" spans="1:13" ht="12.75" customHeight="1" x14ac:dyDescent="0.3">
      <c r="A4" s="2"/>
      <c r="B4" s="2"/>
      <c r="C4" s="2"/>
      <c r="D4" s="15" t="s">
        <v>6</v>
      </c>
      <c r="E4" s="2"/>
      <c r="F4" s="15" t="s">
        <v>7</v>
      </c>
      <c r="G4" s="2"/>
      <c r="H4" s="15" t="s">
        <v>8</v>
      </c>
      <c r="I4" s="2"/>
      <c r="J4" s="13" t="s">
        <v>9</v>
      </c>
      <c r="K4" s="14"/>
      <c r="L4" s="13" t="s">
        <v>10</v>
      </c>
      <c r="M4" s="14"/>
    </row>
    <row r="5" spans="1:13" ht="31.5" customHeight="1" thickBot="1" x14ac:dyDescent="0.35">
      <c r="A5" s="16"/>
      <c r="B5" s="16"/>
      <c r="C5" s="16"/>
      <c r="D5" s="17" t="s">
        <v>11</v>
      </c>
      <c r="E5" s="17" t="s">
        <v>12</v>
      </c>
      <c r="F5" s="17" t="s">
        <v>11</v>
      </c>
      <c r="G5" s="17" t="s">
        <v>12</v>
      </c>
      <c r="H5" s="17" t="s">
        <v>11</v>
      </c>
      <c r="I5" s="17" t="s">
        <v>12</v>
      </c>
      <c r="J5" s="17" t="s">
        <v>11</v>
      </c>
      <c r="K5" s="17" t="s">
        <v>12</v>
      </c>
      <c r="L5" s="17" t="s">
        <v>11</v>
      </c>
      <c r="M5" s="17" t="s">
        <v>12</v>
      </c>
    </row>
    <row r="6" spans="1:13" ht="19.5" customHeight="1" thickTop="1" x14ac:dyDescent="0.3">
      <c r="A6" s="18" t="s">
        <v>13</v>
      </c>
      <c r="B6" s="14"/>
      <c r="C6" s="14"/>
      <c r="D6" s="19" t="s">
        <v>14</v>
      </c>
      <c r="E6" s="19" t="s">
        <v>15</v>
      </c>
      <c r="F6" s="19" t="s">
        <v>14</v>
      </c>
      <c r="G6" s="19" t="s">
        <v>15</v>
      </c>
      <c r="H6" s="19" t="s">
        <v>14</v>
      </c>
      <c r="I6" s="19" t="s">
        <v>15</v>
      </c>
      <c r="J6" s="19" t="s">
        <v>14</v>
      </c>
      <c r="K6" s="19" t="s">
        <v>15</v>
      </c>
      <c r="L6" s="19" t="s">
        <v>14</v>
      </c>
      <c r="M6" s="19" t="s">
        <v>15</v>
      </c>
    </row>
    <row r="7" spans="1:13" ht="66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21" customHeight="1" x14ac:dyDescent="0.3">
      <c r="A8" s="21" t="s">
        <v>16</v>
      </c>
      <c r="B8" s="3" t="s">
        <v>17</v>
      </c>
      <c r="C8" s="6"/>
      <c r="D8" s="20">
        <v>0</v>
      </c>
      <c r="E8" s="20">
        <v>0</v>
      </c>
      <c r="F8" s="22">
        <v>26755.256348240444</v>
      </c>
      <c r="G8" s="22">
        <v>523491.05275232298</v>
      </c>
      <c r="H8" s="20">
        <v>0</v>
      </c>
      <c r="I8" s="20">
        <v>0</v>
      </c>
      <c r="J8" s="20">
        <v>0</v>
      </c>
      <c r="K8" s="20">
        <v>0</v>
      </c>
      <c r="L8" s="20">
        <v>0</v>
      </c>
      <c r="M8" s="20">
        <v>0</v>
      </c>
    </row>
    <row r="9" spans="1:13" ht="7.5" customHeight="1" x14ac:dyDescent="0.3">
      <c r="A9" s="21" t="s">
        <v>18</v>
      </c>
      <c r="B9" s="3" t="s">
        <v>19</v>
      </c>
      <c r="C9" s="6"/>
      <c r="D9" s="20">
        <v>0</v>
      </c>
      <c r="E9" s="20">
        <v>0</v>
      </c>
      <c r="F9" s="22">
        <v>20285.613329654854</v>
      </c>
      <c r="G9" s="22">
        <v>396906.57190679299</v>
      </c>
      <c r="H9" s="20">
        <v>0</v>
      </c>
      <c r="I9" s="20">
        <v>0</v>
      </c>
      <c r="J9" s="20">
        <v>0</v>
      </c>
      <c r="K9" s="20">
        <v>0</v>
      </c>
      <c r="L9" s="20">
        <v>0</v>
      </c>
      <c r="M9" s="20">
        <v>0</v>
      </c>
    </row>
    <row r="10" spans="1:13" ht="13.5" customHeight="1" x14ac:dyDescent="0.3">
      <c r="A10" s="21" t="s">
        <v>20</v>
      </c>
      <c r="B10" s="3" t="s">
        <v>21</v>
      </c>
      <c r="C10" s="6"/>
      <c r="D10" s="20">
        <v>0</v>
      </c>
      <c r="E10" s="20">
        <v>0</v>
      </c>
      <c r="F10" s="22">
        <v>73995.328255519184</v>
      </c>
      <c r="G10" s="22">
        <v>1447786.2511596901</v>
      </c>
      <c r="H10" s="20">
        <v>0</v>
      </c>
      <c r="I10" s="20">
        <v>0</v>
      </c>
      <c r="J10" s="20">
        <v>0</v>
      </c>
      <c r="K10" s="20">
        <v>0</v>
      </c>
      <c r="L10" s="20">
        <v>0</v>
      </c>
      <c r="M10" s="20">
        <v>0</v>
      </c>
    </row>
    <row r="11" spans="1:13" ht="13.5" customHeight="1" x14ac:dyDescent="0.3">
      <c r="A11" s="21" t="s">
        <v>22</v>
      </c>
      <c r="B11" s="3" t="s">
        <v>23</v>
      </c>
      <c r="C11" s="6"/>
      <c r="D11" s="20">
        <v>0</v>
      </c>
      <c r="E11" s="20">
        <v>0</v>
      </c>
      <c r="F11" s="23">
        <v>49153.090582660945</v>
      </c>
      <c r="G11" s="22">
        <v>961725.15786191204</v>
      </c>
      <c r="H11" s="20">
        <v>0</v>
      </c>
      <c r="I11" s="20">
        <v>0</v>
      </c>
      <c r="J11" s="20">
        <v>0</v>
      </c>
      <c r="K11" s="20">
        <v>0</v>
      </c>
      <c r="L11" s="20">
        <v>0</v>
      </c>
      <c r="M11" s="20">
        <v>0</v>
      </c>
    </row>
    <row r="12" spans="1:13" ht="13.5" customHeight="1" x14ac:dyDescent="0.3">
      <c r="A12" s="21" t="s">
        <v>24</v>
      </c>
      <c r="B12" s="3" t="s">
        <v>25</v>
      </c>
      <c r="C12" s="6"/>
      <c r="D12" s="24">
        <v>89137.800000000032</v>
      </c>
      <c r="E12" s="25">
        <v>2045842.56</v>
      </c>
      <c r="F12" s="23">
        <v>13456.978112960835</v>
      </c>
      <c r="G12" s="22">
        <v>263298.080479133</v>
      </c>
      <c r="H12" s="20">
        <v>0</v>
      </c>
      <c r="I12" s="20">
        <v>0</v>
      </c>
      <c r="J12" s="20">
        <v>0</v>
      </c>
      <c r="K12" s="20">
        <v>0</v>
      </c>
      <c r="L12" s="20">
        <v>0</v>
      </c>
      <c r="M12" s="20">
        <v>0</v>
      </c>
    </row>
    <row r="13" spans="1:13" ht="13.5" customHeight="1" x14ac:dyDescent="0.3">
      <c r="A13" s="21" t="s">
        <v>26</v>
      </c>
      <c r="B13" s="3" t="s">
        <v>27</v>
      </c>
      <c r="C13" s="6"/>
      <c r="D13" s="20">
        <v>0</v>
      </c>
      <c r="E13" s="25">
        <v>0</v>
      </c>
      <c r="F13" s="23">
        <v>25440.564461728805</v>
      </c>
      <c r="G13" s="22">
        <v>497767.90397149703</v>
      </c>
      <c r="H13" s="20">
        <v>0</v>
      </c>
      <c r="I13" s="20">
        <v>0</v>
      </c>
      <c r="J13" s="20">
        <v>0</v>
      </c>
      <c r="K13" s="20">
        <v>0</v>
      </c>
      <c r="L13" s="20">
        <v>0</v>
      </c>
      <c r="M13" s="20">
        <v>0</v>
      </c>
    </row>
    <row r="14" spans="1:13" ht="13.5" customHeight="1" x14ac:dyDescent="0.3">
      <c r="A14" s="21" t="s">
        <v>28</v>
      </c>
      <c r="B14" s="3" t="s">
        <v>29</v>
      </c>
      <c r="C14" s="6"/>
      <c r="D14" s="20">
        <v>0</v>
      </c>
      <c r="E14" s="25">
        <v>0</v>
      </c>
      <c r="F14" s="23">
        <v>7957.4868267604943</v>
      </c>
      <c r="G14" s="22">
        <v>155695.50528629299</v>
      </c>
      <c r="H14" s="24">
        <v>1381</v>
      </c>
      <c r="I14" s="24">
        <f>21305</f>
        <v>21305</v>
      </c>
      <c r="J14" s="20">
        <v>0</v>
      </c>
      <c r="K14" s="20">
        <v>0</v>
      </c>
      <c r="L14" s="20">
        <v>0</v>
      </c>
      <c r="M14" s="20">
        <v>0</v>
      </c>
    </row>
    <row r="15" spans="1:13" ht="13.5" customHeight="1" x14ac:dyDescent="0.3">
      <c r="A15" s="21" t="s">
        <v>30</v>
      </c>
      <c r="B15" s="3" t="s">
        <v>31</v>
      </c>
      <c r="C15" s="6"/>
      <c r="D15" s="20">
        <v>0</v>
      </c>
      <c r="E15" s="25">
        <v>0</v>
      </c>
      <c r="F15" s="23">
        <v>11345.116584284484</v>
      </c>
      <c r="G15" s="22">
        <v>221977.5787981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</row>
    <row r="16" spans="1:13" ht="13.5" customHeight="1" x14ac:dyDescent="0.3">
      <c r="A16" s="21" t="s">
        <v>32</v>
      </c>
      <c r="B16" s="3" t="s">
        <v>33</v>
      </c>
      <c r="C16" s="6"/>
      <c r="D16" s="20">
        <v>0</v>
      </c>
      <c r="E16" s="25">
        <v>0</v>
      </c>
      <c r="F16" s="23">
        <v>12022.580264137358</v>
      </c>
      <c r="G16" s="22">
        <v>235232.775098657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</row>
    <row r="17" spans="1:13" ht="13.5" customHeight="1" x14ac:dyDescent="0.3">
      <c r="A17" s="21" t="s">
        <v>34</v>
      </c>
      <c r="B17" s="3" t="s">
        <v>35</v>
      </c>
      <c r="C17" s="6"/>
      <c r="D17" s="20">
        <v>0</v>
      </c>
      <c r="E17" s="25">
        <v>0</v>
      </c>
      <c r="F17" s="23">
        <v>21507.798284683246</v>
      </c>
      <c r="G17" s="22">
        <v>420819.73799417098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</row>
    <row r="18" spans="1:13" ht="13.5" customHeight="1" x14ac:dyDescent="0.3">
      <c r="A18" s="26" t="s">
        <v>36</v>
      </c>
      <c r="B18" s="3" t="s">
        <v>37</v>
      </c>
      <c r="C18" s="6"/>
      <c r="D18" s="27">
        <v>173032.19999999998</v>
      </c>
      <c r="E18" s="25">
        <v>3971341.44</v>
      </c>
      <c r="F18" s="23">
        <v>60179.324416068361</v>
      </c>
      <c r="G18" s="22">
        <v>1177463.5040849801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</row>
    <row r="19" spans="1:13" ht="13.5" customHeight="1" x14ac:dyDescent="0.3">
      <c r="A19" s="26" t="s">
        <v>38</v>
      </c>
      <c r="B19" s="3" t="s">
        <v>39</v>
      </c>
      <c r="C19" s="6"/>
      <c r="D19" s="20">
        <v>0</v>
      </c>
      <c r="E19" s="20">
        <v>0</v>
      </c>
      <c r="F19" s="23">
        <v>40757.211326379293</v>
      </c>
      <c r="G19" s="22">
        <v>797452.10387036204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</row>
    <row r="20" spans="1:13" ht="13.5" customHeight="1" x14ac:dyDescent="0.3">
      <c r="A20" s="26" t="s">
        <v>40</v>
      </c>
      <c r="B20" s="3" t="s">
        <v>41</v>
      </c>
      <c r="C20" s="6"/>
      <c r="D20" s="20">
        <v>0</v>
      </c>
      <c r="E20" s="20">
        <v>0</v>
      </c>
      <c r="F20" s="23">
        <v>15981.396748902944</v>
      </c>
      <c r="G20" s="22">
        <v>312690.63916429097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</row>
    <row r="21" spans="1:13" ht="13.5" customHeight="1" x14ac:dyDescent="0.3">
      <c r="A21" s="26" t="s">
        <v>42</v>
      </c>
      <c r="B21" s="3" t="s">
        <v>43</v>
      </c>
      <c r="C21" s="6"/>
      <c r="D21" s="20">
        <v>0</v>
      </c>
      <c r="E21" s="20">
        <v>0</v>
      </c>
      <c r="F21" s="23">
        <v>7452.6713018574792</v>
      </c>
      <c r="G21" s="22">
        <v>145818.32798933299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</row>
    <row r="22" spans="1:13" ht="13.5" customHeight="1" x14ac:dyDescent="0.3">
      <c r="A22" s="26" t="s">
        <v>44</v>
      </c>
      <c r="B22" s="3" t="s">
        <v>45</v>
      </c>
      <c r="C22" s="6"/>
      <c r="D22" s="20">
        <v>0</v>
      </c>
      <c r="E22" s="20">
        <v>0</v>
      </c>
      <c r="F22" s="23">
        <v>8648.28701873305</v>
      </c>
      <c r="G22" s="22">
        <v>169211.642640028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</row>
    <row r="23" spans="1:13" ht="13.5" customHeight="1" x14ac:dyDescent="0.3">
      <c r="A23" s="26" t="s">
        <v>46</v>
      </c>
      <c r="B23" s="3" t="s">
        <v>47</v>
      </c>
      <c r="C23" s="6"/>
      <c r="D23" s="20">
        <v>0</v>
      </c>
      <c r="E23" s="20">
        <v>0</v>
      </c>
      <c r="F23" s="23">
        <v>3972.1011038420502</v>
      </c>
      <c r="G23" s="22">
        <v>77717.789783975895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</row>
    <row r="24" spans="1:13" ht="13.5" customHeight="1" x14ac:dyDescent="0.3">
      <c r="A24" s="26" t="s">
        <v>48</v>
      </c>
      <c r="B24" s="3" t="s">
        <v>49</v>
      </c>
      <c r="C24" s="6"/>
      <c r="D24" s="20">
        <v>0</v>
      </c>
      <c r="E24" s="20">
        <v>0</v>
      </c>
      <c r="F24" s="23">
        <v>1899.7005279244574</v>
      </c>
      <c r="G24" s="22">
        <v>37169.377722771103</v>
      </c>
      <c r="H24" s="27">
        <v>2881</v>
      </c>
      <c r="I24" s="24">
        <v>57097</v>
      </c>
      <c r="J24" s="20">
        <v>0</v>
      </c>
      <c r="K24" s="20">
        <v>0</v>
      </c>
      <c r="L24" s="20">
        <v>0</v>
      </c>
      <c r="M24" s="20">
        <v>0</v>
      </c>
    </row>
    <row r="25" spans="1:13" ht="13.5" customHeight="1" x14ac:dyDescent="0.3">
      <c r="A25" s="26" t="s">
        <v>50</v>
      </c>
      <c r="B25" s="3" t="s">
        <v>51</v>
      </c>
      <c r="C25" s="6"/>
      <c r="D25" s="20">
        <v>0</v>
      </c>
      <c r="E25" s="20">
        <v>0</v>
      </c>
      <c r="F25" s="23">
        <v>12806.372789644596</v>
      </c>
      <c r="G25" s="22">
        <v>250568.39248077801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</row>
    <row r="26" spans="1:13" ht="13.5" customHeight="1" x14ac:dyDescent="0.3">
      <c r="A26" s="26" t="s">
        <v>52</v>
      </c>
      <c r="B26" s="3" t="s">
        <v>53</v>
      </c>
      <c r="C26" s="6"/>
      <c r="D26" s="20">
        <v>0</v>
      </c>
      <c r="E26" s="20">
        <v>0</v>
      </c>
      <c r="F26" s="23">
        <v>14493.519412346714</v>
      </c>
      <c r="G26" s="22">
        <v>283578.958710092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</row>
    <row r="27" spans="1:13" ht="13.5" customHeight="1" x14ac:dyDescent="0.3">
      <c r="A27" s="26" t="s">
        <v>54</v>
      </c>
      <c r="B27" s="3" t="s">
        <v>55</v>
      </c>
      <c r="C27" s="6"/>
      <c r="D27" s="20">
        <v>0</v>
      </c>
      <c r="E27" s="20">
        <v>0</v>
      </c>
      <c r="F27" s="23">
        <v>8289.6023036703718</v>
      </c>
      <c r="G27" s="22">
        <v>162193.64824481899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</row>
    <row r="28" spans="1:13" ht="13.5" customHeight="1" x14ac:dyDescent="0.3">
      <c r="A28" s="28"/>
      <c r="B28" s="28"/>
      <c r="C28" s="28"/>
      <c r="D28" s="3"/>
      <c r="E28" s="3"/>
      <c r="F28" s="3"/>
      <c r="G28" s="3"/>
      <c r="H28" s="3"/>
      <c r="I28" s="3"/>
      <c r="J28" s="28"/>
      <c r="K28" s="28"/>
      <c r="L28" s="28"/>
      <c r="M28" s="28"/>
    </row>
    <row r="29" spans="1:13" ht="13.5" customHeight="1" thickBot="1" x14ac:dyDescent="0.35">
      <c r="A29" s="29"/>
      <c r="B29" s="30" t="s">
        <v>56</v>
      </c>
      <c r="C29" s="31"/>
      <c r="D29" s="32">
        <f t="shared" ref="D29:M29" si="0">SUM(D8:D27)</f>
        <v>262170</v>
      </c>
      <c r="E29" s="32">
        <f t="shared" si="0"/>
        <v>6017184</v>
      </c>
      <c r="F29" s="32">
        <f>SUM(F8:F27)</f>
        <v>436399.99999999988</v>
      </c>
      <c r="G29" s="32">
        <f>SUM(G8:G27)</f>
        <v>8538565</v>
      </c>
      <c r="H29" s="33">
        <f t="shared" si="0"/>
        <v>4262</v>
      </c>
      <c r="I29" s="32">
        <f t="shared" si="0"/>
        <v>78402</v>
      </c>
      <c r="J29" s="34">
        <f t="shared" si="0"/>
        <v>0</v>
      </c>
      <c r="K29" s="34">
        <f t="shared" si="0"/>
        <v>0</v>
      </c>
      <c r="L29" s="34">
        <f t="shared" si="0"/>
        <v>0</v>
      </c>
      <c r="M29" s="34">
        <f t="shared" si="0"/>
        <v>0</v>
      </c>
    </row>
    <row r="30" spans="1:13" ht="9.75" customHeight="1" thickTop="1" x14ac:dyDescent="0.3">
      <c r="A30" s="3" t="s">
        <v>57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7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12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12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12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12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12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12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12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12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12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12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12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12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12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12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12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12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12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12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12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12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12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12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12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12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12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12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12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12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12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12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12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12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12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12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12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12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12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12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12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12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12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12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12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12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12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12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12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12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2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2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2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2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2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2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2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2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2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2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2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2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2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2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2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2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2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2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2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2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2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2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2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2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2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2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2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2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2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2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2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2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2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2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2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2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2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2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2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2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2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2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2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2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2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2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2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2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2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2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2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2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2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2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2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2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2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2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2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2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2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2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2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2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2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2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2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2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2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2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2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2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2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2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2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2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2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2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2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2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2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2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2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2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2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2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2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2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2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2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2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2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2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2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2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2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2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2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2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2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2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2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2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2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2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2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2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2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2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2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2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2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2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2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2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2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2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2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2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2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t="12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ht="12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ht="12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ht="12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ht="12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ht="12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ht="12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ht="12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12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ht="12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ht="12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ht="12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ht="12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12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ht="12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ht="12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ht="12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12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t="12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t="12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t="12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t="12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12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t="12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t="12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t="12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ht="12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ht="12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ht="12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ht="12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ht="12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ht="12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ht="12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ht="12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ht="12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ht="12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ht="12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ht="12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ht="12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ht="12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ht="12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ht="12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ht="12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ht="12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ht="12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ht="12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2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ht="12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t="12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2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ht="12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ht="12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ht="12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ht="12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ht="12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t="12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ht="12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ht="12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ht="12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ht="12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ht="12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ht="12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ht="12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ht="12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ht="12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ht="12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ht="12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ht="12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ht="12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ht="12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ht="12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ht="12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ht="12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ht="12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ht="12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ht="12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ht="12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ht="12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ht="12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ht="12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ht="12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ht="12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ht="12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ht="12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ht="12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ht="12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ht="12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ht="12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ht="12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ht="12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ht="12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ht="12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ht="12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ht="12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ht="12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ht="12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ht="12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ht="12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ht="12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ht="12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ht="12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ht="12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ht="12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ht="12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ht="12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ht="12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ht="12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ht="12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ht="12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ht="12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ht="12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ht="12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ht="12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ht="12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ht="12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ht="12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ht="12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ht="12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ht="12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ht="12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ht="12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ht="12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ht="12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ht="12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ht="12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ht="12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ht="12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ht="12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ht="12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ht="12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ht="12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ht="12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ht="12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ht="12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ht="12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ht="12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ht="12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ht="12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ht="12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ht="12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ht="12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ht="12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ht="12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ht="12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ht="12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ht="12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ht="12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ht="12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ht="12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ht="12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ht="12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ht="12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ht="12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ht="12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ht="12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ht="12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ht="12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ht="12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ht="12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ht="12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ht="12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ht="12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ht="12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ht="12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ht="12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ht="12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ht="12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ht="12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ht="12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ht="12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ht="12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ht="12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ht="12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ht="12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ht="12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ht="12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ht="12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ht="12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ht="12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ht="12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ht="12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ht="12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ht="12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ht="12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ht="12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ht="12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ht="12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ht="12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ht="12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ht="12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ht="12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ht="12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ht="12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ht="12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ht="12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ht="12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ht="12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ht="12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ht="12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ht="12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ht="12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ht="12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ht="12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ht="12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ht="12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ht="12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ht="12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ht="12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ht="12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ht="12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ht="12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ht="12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ht="12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ht="12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ht="12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ht="12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ht="12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ht="12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ht="12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ht="12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ht="12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ht="12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ht="12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ht="12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ht="12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ht="12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ht="12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ht="12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ht="12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ht="12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ht="12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ht="12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ht="12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ht="12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ht="12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ht="12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ht="12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ht="12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ht="12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ht="12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ht="12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ht="12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ht="12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ht="12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ht="12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ht="12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ht="12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ht="12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ht="12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ht="12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ht="12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ht="12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ht="12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ht="12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ht="12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ht="12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ht="12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ht="12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ht="12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ht="12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ht="12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ht="12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ht="12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ht="12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ht="12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ht="12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ht="12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ht="12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ht="12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ht="12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ht="12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ht="12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ht="12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ht="12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ht="12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ht="12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ht="12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ht="12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ht="12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ht="12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ht="12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ht="12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ht="12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ht="12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ht="12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ht="12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ht="12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ht="12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ht="12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ht="12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ht="12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ht="12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ht="12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ht="12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ht="12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ht="12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ht="12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ht="12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ht="12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ht="12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ht="12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ht="12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ht="12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ht="12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ht="12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ht="12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ht="12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ht="12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ht="12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ht="12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ht="12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ht="12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ht="12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ht="12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ht="12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ht="12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ht="12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ht="12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ht="12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ht="12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ht="12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ht="12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ht="12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ht="12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ht="12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ht="12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ht="12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ht="12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ht="12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ht="12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ht="12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ht="12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ht="12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ht="12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ht="12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ht="12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ht="12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ht="12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ht="12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ht="12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ht="12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ht="12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ht="12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ht="12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ht="12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ht="12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ht="12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ht="12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ht="12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ht="12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ht="12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ht="12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ht="12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ht="12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ht="12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ht="12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ht="12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ht="12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ht="12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ht="12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ht="12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ht="12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ht="12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ht="12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ht="12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ht="12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ht="12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ht="12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ht="12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ht="12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ht="12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ht="12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ht="12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ht="12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ht="12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ht="12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ht="12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ht="12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ht="12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ht="12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ht="12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ht="12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ht="12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ht="12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ht="12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ht="12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ht="12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ht="12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ht="12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ht="12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ht="12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ht="12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ht="12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ht="12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ht="12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ht="12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ht="12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ht="12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ht="12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ht="12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ht="12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ht="12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ht="12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ht="12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ht="12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ht="12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ht="12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ht="12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ht="12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ht="12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ht="12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ht="12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ht="12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ht="12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ht="12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ht="12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ht="12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ht="12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ht="12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ht="12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ht="12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ht="12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ht="12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ht="12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ht="12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ht="12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ht="12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ht="12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ht="12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ht="12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ht="12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ht="12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ht="12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ht="12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ht="12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ht="12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ht="12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ht="12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ht="12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ht="12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ht="12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ht="12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ht="12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ht="12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ht="12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ht="12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ht="12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ht="12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ht="12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ht="12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ht="12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ht="12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ht="12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ht="12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ht="12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ht="12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ht="12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ht="12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ht="12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ht="12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ht="12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ht="12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ht="12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ht="12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ht="12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ht="12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ht="12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ht="12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ht="12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ht="12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ht="12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ht="12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ht="12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ht="12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ht="12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ht="12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ht="12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ht="12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ht="12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ht="12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ht="12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ht="12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ht="12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ht="12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ht="12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ht="12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ht="12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ht="12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ht="12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ht="12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ht="12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ht="12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ht="12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ht="12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ht="12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ht="12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ht="12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ht="12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ht="12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ht="12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ht="12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ht="12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ht="12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ht="12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ht="12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ht="12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ht="12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ht="12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ht="12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ht="12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ht="12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ht="12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ht="12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ht="12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ht="12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ht="12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ht="12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ht="12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ht="12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ht="12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ht="12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ht="12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ht="12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ht="12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ht="12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ht="12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ht="12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ht="12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ht="12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ht="12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ht="12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ht="12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ht="12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ht="12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ht="12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ht="12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ht="12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ht="12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ht="12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ht="12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ht="12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ht="12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ht="12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ht="12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ht="12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ht="12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ht="12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ht="12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ht="12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ht="12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ht="12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ht="12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ht="12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ht="12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ht="12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ht="12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ht="12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ht="12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ht="12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ht="12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ht="12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ht="12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ht="12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ht="12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ht="12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ht="12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ht="12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ht="12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ht="12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ht="12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ht="12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ht="12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ht="12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ht="12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ht="12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ht="12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ht="12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ht="12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ht="12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ht="12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ht="12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ht="12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ht="12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ht="12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ht="12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ht="12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ht="12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ht="12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ht="12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ht="12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ht="12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ht="12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ht="12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ht="12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ht="12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ht="12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ht="12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ht="12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ht="12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ht="12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ht="12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ht="12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ht="12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ht="12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ht="12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ht="12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ht="12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ht="12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ht="12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ht="12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ht="12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ht="12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ht="12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ht="12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ht="12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ht="12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ht="12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ht="12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ht="12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ht="12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ht="12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ht="12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ht="12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ht="12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ht="12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ht="12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ht="12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ht="12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ht="12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ht="12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ht="12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ht="12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ht="12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ht="12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ht="12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ht="12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ht="12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ht="12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ht="12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ht="12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ht="12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ht="12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ht="12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ht="12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ht="12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ht="12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ht="12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ht="12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ht="12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ht="12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ht="12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ht="12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ht="12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ht="12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ht="12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ht="12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ht="12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ht="12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ht="12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ht="12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ht="12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ht="12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ht="12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ht="12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ht="12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ht="12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ht="12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ht="12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ht="12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ht="12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ht="12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ht="12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ht="12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ht="12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ht="12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ht="12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ht="12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ht="12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ht="12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ht="12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ht="12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ht="12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ht="12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ht="12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ht="12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ht="12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ht="12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ht="12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ht="12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ht="12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ht="12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ht="12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ht="12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ht="12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ht="12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ht="12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ht="12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ht="12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ht="12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ht="12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ht="12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ht="12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ht="12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ht="12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ht="12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ht="12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ht="12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ht="12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ht="12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ht="12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ht="12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ht="12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ht="12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ht="12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ht="12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ht="12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ht="12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ht="12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ht="12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ht="12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ht="12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ht="12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ht="12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ht="12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ht="12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ht="12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ht="12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ht="12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ht="12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ht="12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ht="12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ht="12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ht="12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ht="12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ht="12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ht="12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ht="12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ht="12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ht="12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ht="12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ht="12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ht="12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ht="12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ht="12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ht="12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ht="12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ht="12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ht="12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ht="12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ht="12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ht="12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ht="12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ht="12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ht="12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ht="12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ht="12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ht="12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ht="12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ht="12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ht="12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ht="12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ht="12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ht="12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ht="12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ht="12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ht="12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ht="12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ht="12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 ht="12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 ht="12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ht="12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ht="12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ht="12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 ht="12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ht="12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ht="12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ht="12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ht="12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ht="12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ht="12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ht="12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ht="12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ht="12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ht="12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ht="12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ht="12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ht="12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ht="12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ht="12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ht="12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ht="12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ht="12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ht="12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ht="12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ht="12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9">
    <mergeCell ref="A6:C6"/>
    <mergeCell ref="D4:E4"/>
    <mergeCell ref="F4:G4"/>
    <mergeCell ref="H4:I4"/>
    <mergeCell ref="J4:K4"/>
    <mergeCell ref="L4:M4"/>
    <mergeCell ref="A3:C5"/>
    <mergeCell ref="D3:M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2025-07-14T07:26:32Z</dcterms:created>
  <dcterms:modified xsi:type="dcterms:W3CDTF">2025-07-14T07:26:50Z</dcterms:modified>
</cp:coreProperties>
</file>