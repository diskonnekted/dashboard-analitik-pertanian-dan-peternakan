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568FB26-17E8-4869-88C7-4B1FBF298D71}" xr6:coauthVersionLast="47" xr6:coauthVersionMax="47" xr10:uidLastSave="{00000000-0000-0000-0000-000000000000}"/>
  <bookViews>
    <workbookView xWindow="28680" yWindow="-120" windowWidth="29040" windowHeight="15720" xr2:uid="{01475768-E50B-4829-B8F1-A5CF04742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  <c r="F34" i="1"/>
  <c r="F33" i="1"/>
  <c r="F32" i="1"/>
  <c r="E31" i="1"/>
  <c r="D31" i="1"/>
  <c r="F30" i="1"/>
  <c r="F29" i="1"/>
  <c r="F28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31" i="1" l="1"/>
</calcChain>
</file>

<file path=xl/sharedStrings.xml><?xml version="1.0" encoding="utf-8"?>
<sst xmlns="http://schemas.openxmlformats.org/spreadsheetml/2006/main" count="65" uniqueCount="65">
  <si>
    <t>Tahun 2020</t>
  </si>
  <si>
    <t>Tahun 2021</t>
  </si>
  <si>
    <r>
      <rPr>
        <b/>
        <u/>
        <sz val="11"/>
        <color theme="1"/>
        <rFont val="Calibri"/>
      </rPr>
      <t>Tabel</t>
    </r>
    <r>
      <rPr>
        <b/>
        <u/>
        <sz val="11"/>
        <color theme="1"/>
        <rFont val="Calibri"/>
      </rPr>
      <t xml:space="preserve"> : 5.1.1.</t>
    </r>
  </si>
  <si>
    <r>
      <rPr>
        <b/>
        <sz val="11"/>
        <color theme="1"/>
        <rFont val="Calibri"/>
      </rPr>
      <t>Lanjutan</t>
    </r>
    <r>
      <rPr>
        <sz val="11"/>
        <color theme="1"/>
        <rFont val="Calibri"/>
      </rPr>
      <t>/</t>
    </r>
    <r>
      <rPr>
        <i/>
        <sz val="11"/>
        <color theme="1"/>
        <rFont val="Calibri"/>
      </rPr>
      <t>Continued</t>
    </r>
  </si>
  <si>
    <t>Table</t>
  </si>
  <si>
    <t>Luas Panen</t>
  </si>
  <si>
    <t>Produksi</t>
  </si>
  <si>
    <t>Rata-rata Produksi</t>
  </si>
  <si>
    <t>Tahun 2022</t>
  </si>
  <si>
    <t>Tahun 2023</t>
  </si>
  <si>
    <t>Tahun 2024</t>
  </si>
  <si>
    <t>Harvested Area</t>
  </si>
  <si>
    <t>Production</t>
  </si>
  <si>
    <t>Yield Rate</t>
  </si>
  <si>
    <r>
      <rPr>
        <sz val="9"/>
        <color theme="1"/>
        <rFont val="Calibri"/>
      </rPr>
      <t xml:space="preserve">Kecamatan                    </t>
    </r>
    <r>
      <rPr>
        <i/>
        <sz val="9"/>
        <color theme="1"/>
        <rFont val="Calibri"/>
      </rPr>
      <t>Subdistrict</t>
    </r>
  </si>
  <si>
    <r>
      <rPr>
        <sz val="9"/>
        <color theme="1"/>
        <rFont val="Calibri"/>
      </rPr>
      <t xml:space="preserve">Total Padi                                                                                                                              </t>
    </r>
    <r>
      <rPr>
        <i/>
        <sz val="9"/>
        <color theme="1"/>
        <rFont val="Calibri"/>
      </rPr>
      <t>Total of Paddy</t>
    </r>
  </si>
  <si>
    <t>(Ha)</t>
  </si>
  <si>
    <t>(Ton)</t>
  </si>
  <si>
    <t>(Ku/Ha)</t>
  </si>
  <si>
    <t>(1)</t>
  </si>
  <si>
    <t>(8)</t>
  </si>
  <si>
    <t>(9)</t>
  </si>
  <si>
    <t>(10)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</si>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</sst>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1"/>
      <color theme="1"/>
      <name val="Calibri"/>
      <family val="2"/>
    </font>
    <font>
      <b/>
      <u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i/>
      <sz val="11"/>
      <color theme="1"/>
      <name val="Calibri"/>
    </font>
    <font>
      <sz val="9"/>
      <color theme="1"/>
      <name val="Calibri"/>
    </font>
    <font>
      <i/>
      <sz val="9"/>
      <color theme="1"/>
      <name val="Calibri"/>
    </font>
    <font>
      <sz val="10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1" fillId="0" borderId="0" xfId="1"/>
    <xf numFmtId="0" fontId="3" fillId="0" borderId="0" xfId="1" applyFont="1" applyAlignment="1">
      <alignment horizontal="left" shrinkToFit="1"/>
    </xf>
    <xf numFmtId="0" fontId="4" fillId="0" borderId="0" xfId="1" applyFont="1"/>
    <xf numFmtId="0" fontId="4" fillId="0" borderId="0" xfId="1" applyFont="1" applyAlignment="1">
      <alignment horizontal="center"/>
    </xf>
    <xf numFmtId="0" fontId="6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7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7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7" fillId="0" borderId="0" xfId="1" applyFont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8" fillId="0" borderId="0" xfId="1" applyFont="1" applyAlignment="1">
      <alignment horizontal="center" vertical="top" wrapText="1"/>
    </xf>
    <xf numFmtId="0" fontId="9" fillId="0" borderId="4" xfId="1" applyFont="1" applyBorder="1"/>
    <xf numFmtId="0" fontId="7" fillId="0" borderId="0" xfId="1" applyFont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9" fillId="0" borderId="5" xfId="1" applyFont="1" applyBorder="1"/>
    <xf numFmtId="0" fontId="7" fillId="0" borderId="5" xfId="1" applyFont="1" applyBorder="1" applyAlignment="1">
      <alignment horizontal="center" vertical="center"/>
    </xf>
    <xf numFmtId="0" fontId="5" fillId="0" borderId="0" xfId="1" applyFont="1"/>
    <xf numFmtId="0" fontId="5" fillId="0" borderId="3" xfId="1" applyFont="1" applyBorder="1"/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4" fontId="10" fillId="0" borderId="0" xfId="1" applyNumberFormat="1" applyFont="1" applyAlignment="1">
      <alignment horizontal="center"/>
    </xf>
    <xf numFmtId="0" fontId="4" fillId="2" borderId="5" xfId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9" fillId="0" borderId="3" xfId="1" applyFont="1" applyBorder="1"/>
    <xf numFmtId="164" fontId="5" fillId="0" borderId="3" xfId="1" applyNumberFormat="1" applyFont="1" applyBorder="1" applyAlignment="1">
      <alignment horizontal="left" vertical="center"/>
    </xf>
    <xf numFmtId="164" fontId="4" fillId="0" borderId="3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4" fontId="5" fillId="0" borderId="0" xfId="1" applyNumberFormat="1" applyFont="1" applyAlignment="1">
      <alignment horizontal="left" vertical="center"/>
    </xf>
    <xf numFmtId="164" fontId="4" fillId="0" borderId="0" xfId="1" applyNumberFormat="1" applyFont="1" applyAlignment="1">
      <alignment horizontal="left" vertical="center"/>
    </xf>
    <xf numFmtId="0" fontId="2" fillId="0" borderId="0" xfId="1" applyFont="1" applyAlignment="1">
      <alignment vertical="top"/>
    </xf>
    <xf numFmtId="0" fontId="1" fillId="0" borderId="6" xfId="1" applyBorder="1"/>
    <xf numFmtId="0" fontId="5" fillId="0" borderId="6" xfId="1" applyFont="1" applyBorder="1" applyAlignment="1">
      <alignment horizontal="center" vertical="center"/>
    </xf>
    <xf numFmtId="0" fontId="5" fillId="0" borderId="7" xfId="1" applyFont="1" applyBorder="1"/>
  </cellXfs>
  <cellStyles count="2">
    <cellStyle name="Normal" xfId="0" builtinId="0"/>
    <cellStyle name="Normal 4" xfId="1" xr:uid="{497F1156-E16A-4BEB-BBDE-29A6A66511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3406-B9C3-45B9-8B2E-D6E7E47CC43F}">
  <dimension ref="A1:F996"/>
  <sheetViews>
    <sheetView tabSelected="1" workbookViewId="0">
      <selection activeCell="E14" sqref="E14"/>
    </sheetView>
  </sheetViews>
  <sheetFormatPr defaultColWidth="14.44140625" defaultRowHeight="13.2" x14ac:dyDescent="0.25"/>
  <cols>
    <col min="1" max="1" width="7" style="2" customWidth="1"/>
    <col min="2" max="2" width="14.44140625" style="2"/>
    <col min="3" max="3" width="3.21875" style="2" customWidth="1"/>
    <col min="4" max="5" width="11.21875" style="2" customWidth="1"/>
    <col min="6" max="6" width="10" style="2" customWidth="1"/>
    <col min="7" max="16384" width="14.44140625" style="2"/>
  </cols>
  <sheetData>
    <row r="1" spans="1:6" ht="12.75" customHeight="1" x14ac:dyDescent="0.3">
      <c r="A1" s="3" t="s">
        <v>2</v>
      </c>
      <c r="B1" s="1"/>
      <c r="C1" s="4" t="s">
        <v>3</v>
      </c>
      <c r="D1" s="5"/>
      <c r="E1" s="5"/>
    </row>
    <row r="2" spans="1:6" ht="19.5" customHeight="1" x14ac:dyDescent="0.3">
      <c r="A2" s="6" t="s">
        <v>4</v>
      </c>
      <c r="B2" s="5"/>
      <c r="C2" s="5"/>
      <c r="D2" s="4"/>
      <c r="E2" s="4"/>
      <c r="F2" s="4"/>
    </row>
    <row r="3" spans="1:6" ht="31.5" customHeight="1" x14ac:dyDescent="0.3">
      <c r="A3" s="5"/>
      <c r="B3" s="5"/>
      <c r="C3" s="5"/>
      <c r="D3" s="5"/>
      <c r="E3" s="5"/>
      <c r="F3" s="5"/>
    </row>
    <row r="4" spans="1:6" ht="12.75" customHeight="1" thickBot="1" x14ac:dyDescent="0.35">
      <c r="A4" s="7" t="s">
        <v>10</v>
      </c>
      <c r="B4" s="1"/>
      <c r="C4" s="1"/>
      <c r="D4" s="1"/>
      <c r="E4" s="1"/>
      <c r="F4" s="1"/>
    </row>
    <row r="5" spans="1:6" ht="13.8" thickTop="1" x14ac:dyDescent="0.25">
      <c r="A5" s="8" t="s">
        <v>14</v>
      </c>
      <c r="B5" s="9"/>
      <c r="C5" s="9"/>
      <c r="D5" s="10" t="s">
        <v>15</v>
      </c>
      <c r="E5" s="11"/>
      <c r="F5" s="11"/>
    </row>
    <row r="6" spans="1:6" ht="12.75" customHeight="1" x14ac:dyDescent="0.25">
      <c r="A6" s="1"/>
      <c r="B6" s="1"/>
      <c r="C6" s="1"/>
      <c r="D6" s="12" t="s">
        <v>5</v>
      </c>
      <c r="E6" s="13" t="s">
        <v>6</v>
      </c>
      <c r="F6" s="12" t="s">
        <v>7</v>
      </c>
    </row>
    <row r="7" spans="1:6" ht="14.25" customHeight="1" x14ac:dyDescent="0.25">
      <c r="A7" s="1"/>
      <c r="B7" s="1"/>
      <c r="C7" s="1"/>
      <c r="D7" s="14" t="s">
        <v>11</v>
      </c>
      <c r="E7" s="14" t="s">
        <v>12</v>
      </c>
      <c r="F7" s="14" t="s">
        <v>13</v>
      </c>
    </row>
    <row r="8" spans="1:6" hidden="1" x14ac:dyDescent="0.25">
      <c r="A8" s="15"/>
      <c r="B8" s="15"/>
      <c r="C8" s="15"/>
      <c r="D8" s="16" t="s">
        <v>16</v>
      </c>
      <c r="E8" s="16" t="s">
        <v>17</v>
      </c>
      <c r="F8" s="16" t="s">
        <v>18</v>
      </c>
    </row>
    <row r="9" spans="1:6" x14ac:dyDescent="0.25">
      <c r="A9" s="17" t="s">
        <v>19</v>
      </c>
      <c r="B9" s="18"/>
      <c r="C9" s="18"/>
      <c r="D9" s="19" t="s">
        <v>20</v>
      </c>
      <c r="E9" s="19" t="s">
        <v>21</v>
      </c>
      <c r="F9" s="19" t="s">
        <v>22</v>
      </c>
    </row>
    <row r="10" spans="1:6" ht="14.4" x14ac:dyDescent="0.3">
      <c r="A10" s="20"/>
      <c r="B10" s="21"/>
      <c r="C10" s="21"/>
      <c r="D10" s="21"/>
      <c r="E10" s="20"/>
      <c r="F10" s="20"/>
    </row>
    <row r="11" spans="1:6" ht="14.4" x14ac:dyDescent="0.3">
      <c r="A11" s="22" t="s">
        <v>23</v>
      </c>
      <c r="B11" s="23" t="s">
        <v>24</v>
      </c>
      <c r="C11" s="23"/>
      <c r="D11" s="24">
        <v>2476</v>
      </c>
      <c r="E11" s="24">
        <v>16805.77</v>
      </c>
      <c r="F11" s="24">
        <f>(E11/D11)*10</f>
        <v>67.874676898222944</v>
      </c>
    </row>
    <row r="12" spans="1:6" ht="14.4" x14ac:dyDescent="0.3">
      <c r="A12" s="22" t="s">
        <v>25</v>
      </c>
      <c r="B12" s="23" t="s">
        <v>26</v>
      </c>
      <c r="C12" s="23"/>
      <c r="D12" s="24">
        <v>1568</v>
      </c>
      <c r="E12" s="24">
        <v>11425.94</v>
      </c>
      <c r="F12" s="24">
        <f t="shared" ref="F12:F30" si="0">(E12/D12)*10</f>
        <v>72.869515306122452</v>
      </c>
    </row>
    <row r="13" spans="1:6" ht="14.4" x14ac:dyDescent="0.3">
      <c r="A13" s="22" t="s">
        <v>27</v>
      </c>
      <c r="B13" s="23" t="s">
        <v>28</v>
      </c>
      <c r="C13" s="23"/>
      <c r="D13" s="24">
        <v>3362</v>
      </c>
      <c r="E13" s="24">
        <v>26543.23</v>
      </c>
      <c r="F13" s="24">
        <f t="shared" si="0"/>
        <v>78.950713860797151</v>
      </c>
    </row>
    <row r="14" spans="1:6" ht="14.4" x14ac:dyDescent="0.3">
      <c r="A14" s="22" t="s">
        <v>29</v>
      </c>
      <c r="B14" s="23" t="s">
        <v>30</v>
      </c>
      <c r="C14" s="23"/>
      <c r="D14" s="24">
        <v>2366</v>
      </c>
      <c r="E14" s="24">
        <v>18452.22</v>
      </c>
      <c r="F14" s="24">
        <f t="shared" si="0"/>
        <v>77.989095519864748</v>
      </c>
    </row>
    <row r="15" spans="1:6" ht="14.4" x14ac:dyDescent="0.3">
      <c r="A15" s="22" t="s">
        <v>31</v>
      </c>
      <c r="B15" s="23" t="s">
        <v>32</v>
      </c>
      <c r="C15" s="23"/>
      <c r="D15" s="24">
        <v>2217.5</v>
      </c>
      <c r="E15" s="24">
        <v>14902.88</v>
      </c>
      <c r="F15" s="24">
        <f t="shared" si="0"/>
        <v>67.205772266065381</v>
      </c>
    </row>
    <row r="16" spans="1:6" ht="14.4" x14ac:dyDescent="0.3">
      <c r="A16" s="22" t="s">
        <v>33</v>
      </c>
      <c r="B16" s="23" t="s">
        <v>34</v>
      </c>
      <c r="C16" s="23"/>
      <c r="D16" s="24">
        <v>696.88</v>
      </c>
      <c r="E16" s="24">
        <v>4757.55</v>
      </c>
      <c r="F16" s="24">
        <f t="shared" si="0"/>
        <v>68.269285960280101</v>
      </c>
    </row>
    <row r="17" spans="1:6" ht="14.4" x14ac:dyDescent="0.3">
      <c r="A17" s="22" t="s">
        <v>35</v>
      </c>
      <c r="B17" s="23" t="s">
        <v>36</v>
      </c>
      <c r="C17" s="23"/>
      <c r="D17" s="24">
        <v>339.76</v>
      </c>
      <c r="E17" s="24">
        <v>2332.12</v>
      </c>
      <c r="F17" s="24">
        <f t="shared" si="0"/>
        <v>68.640216623498944</v>
      </c>
    </row>
    <row r="18" spans="1:6" ht="14.4" x14ac:dyDescent="0.3">
      <c r="A18" s="22" t="s">
        <v>37</v>
      </c>
      <c r="B18" s="23" t="s">
        <v>38</v>
      </c>
      <c r="C18" s="23"/>
      <c r="D18" s="24">
        <v>364</v>
      </c>
      <c r="E18" s="24">
        <v>2716.45</v>
      </c>
      <c r="F18" s="24">
        <f t="shared" si="0"/>
        <v>74.627747252747255</v>
      </c>
    </row>
    <row r="19" spans="1:6" ht="14.4" x14ac:dyDescent="0.3">
      <c r="A19" s="22" t="s">
        <v>39</v>
      </c>
      <c r="B19" s="23" t="s">
        <v>40</v>
      </c>
      <c r="C19" s="23"/>
      <c r="D19" s="24">
        <v>1016</v>
      </c>
      <c r="E19" s="24">
        <v>6677.51</v>
      </c>
      <c r="F19" s="24">
        <f t="shared" si="0"/>
        <v>65.723523622047239</v>
      </c>
    </row>
    <row r="20" spans="1:6" ht="14.4" x14ac:dyDescent="0.3">
      <c r="A20" s="22" t="s">
        <v>41</v>
      </c>
      <c r="B20" s="23" t="s">
        <v>42</v>
      </c>
      <c r="C20" s="23"/>
      <c r="D20" s="24">
        <v>1115</v>
      </c>
      <c r="E20" s="24">
        <v>6677.51</v>
      </c>
      <c r="F20" s="24">
        <f t="shared" si="0"/>
        <v>59.887982062780267</v>
      </c>
    </row>
    <row r="21" spans="1:6" ht="14.4" x14ac:dyDescent="0.3">
      <c r="A21" s="22" t="s">
        <v>43</v>
      </c>
      <c r="B21" s="23" t="s">
        <v>44</v>
      </c>
      <c r="C21" s="23"/>
      <c r="D21" s="24">
        <v>1638.84</v>
      </c>
      <c r="E21" s="24">
        <v>12017.48</v>
      </c>
      <c r="F21" s="24">
        <f t="shared" si="0"/>
        <v>73.329184057015937</v>
      </c>
    </row>
    <row r="22" spans="1:6" ht="14.4" x14ac:dyDescent="0.3">
      <c r="A22" s="22" t="s">
        <v>45</v>
      </c>
      <c r="B22" s="23" t="s">
        <v>46</v>
      </c>
      <c r="C22" s="23"/>
      <c r="D22" s="24">
        <v>1529.75</v>
      </c>
      <c r="E22" s="24">
        <v>10836.78</v>
      </c>
      <c r="F22" s="24">
        <f t="shared" si="0"/>
        <v>70.840202647491424</v>
      </c>
    </row>
    <row r="23" spans="1:6" ht="14.4" x14ac:dyDescent="0.3">
      <c r="A23" s="22" t="s">
        <v>47</v>
      </c>
      <c r="B23" s="23" t="s">
        <v>48</v>
      </c>
      <c r="C23" s="23"/>
      <c r="D23" s="24">
        <v>1860.64</v>
      </c>
      <c r="E23" s="24">
        <v>12677.51</v>
      </c>
      <c r="F23" s="24">
        <f t="shared" si="0"/>
        <v>68.135211540115222</v>
      </c>
    </row>
    <row r="24" spans="1:6" ht="14.4" x14ac:dyDescent="0.3">
      <c r="A24" s="22" t="s">
        <v>49</v>
      </c>
      <c r="B24" s="23" t="s">
        <v>50</v>
      </c>
      <c r="C24" s="23"/>
      <c r="D24" s="24">
        <v>668</v>
      </c>
      <c r="E24" s="24">
        <v>4071.05</v>
      </c>
      <c r="F24" s="24">
        <f t="shared" si="0"/>
        <v>60.943862275449099</v>
      </c>
    </row>
    <row r="25" spans="1:6" ht="14.4" x14ac:dyDescent="0.3">
      <c r="A25" s="22" t="s">
        <v>51</v>
      </c>
      <c r="B25" s="23" t="s">
        <v>52</v>
      </c>
      <c r="C25" s="23"/>
      <c r="D25" s="24">
        <v>730</v>
      </c>
      <c r="E25" s="24">
        <v>3617.55</v>
      </c>
      <c r="F25" s="24">
        <f t="shared" si="0"/>
        <v>49.555479452054797</v>
      </c>
    </row>
    <row r="26" spans="1:6" ht="14.4" x14ac:dyDescent="0.3">
      <c r="A26" s="22" t="s">
        <v>53</v>
      </c>
      <c r="B26" s="23" t="s">
        <v>54</v>
      </c>
      <c r="C26" s="23"/>
      <c r="D26" s="24">
        <v>184</v>
      </c>
      <c r="E26" s="24">
        <v>1045.22</v>
      </c>
      <c r="F26" s="24">
        <f t="shared" si="0"/>
        <v>56.8054347826087</v>
      </c>
    </row>
    <row r="27" spans="1:6" ht="14.4" x14ac:dyDescent="0.3">
      <c r="A27" s="22" t="s">
        <v>55</v>
      </c>
      <c r="B27" s="23" t="s">
        <v>56</v>
      </c>
      <c r="C27" s="23"/>
      <c r="D27" s="24">
        <v>0</v>
      </c>
      <c r="E27" s="24">
        <v>0</v>
      </c>
      <c r="F27" s="24">
        <v>0</v>
      </c>
    </row>
    <row r="28" spans="1:6" ht="14.4" x14ac:dyDescent="0.3">
      <c r="A28" s="22" t="s">
        <v>57</v>
      </c>
      <c r="B28" s="23" t="s">
        <v>58</v>
      </c>
      <c r="C28" s="23"/>
      <c r="D28" s="24">
        <v>176</v>
      </c>
      <c r="E28" s="24">
        <v>745.22</v>
      </c>
      <c r="F28" s="24">
        <f t="shared" si="0"/>
        <v>42.342045454545456</v>
      </c>
    </row>
    <row r="29" spans="1:6" ht="14.4" x14ac:dyDescent="0.3">
      <c r="A29" s="22" t="s">
        <v>59</v>
      </c>
      <c r="B29" s="23" t="s">
        <v>60</v>
      </c>
      <c r="C29" s="23"/>
      <c r="D29" s="24">
        <v>1815</v>
      </c>
      <c r="E29" s="24">
        <v>11497.51</v>
      </c>
      <c r="F29" s="24">
        <f t="shared" si="0"/>
        <v>63.347162534435256</v>
      </c>
    </row>
    <row r="30" spans="1:6" ht="14.4" x14ac:dyDescent="0.3">
      <c r="A30" s="22" t="s">
        <v>61</v>
      </c>
      <c r="B30" s="23" t="s">
        <v>62</v>
      </c>
      <c r="C30" s="23"/>
      <c r="D30" s="24">
        <v>1451</v>
      </c>
      <c r="E30" s="24">
        <v>8397.51</v>
      </c>
      <c r="F30" s="24">
        <f t="shared" si="0"/>
        <v>57.87394900068918</v>
      </c>
    </row>
    <row r="31" spans="1:6" ht="14.4" x14ac:dyDescent="0.25">
      <c r="A31" s="25" t="s">
        <v>63</v>
      </c>
      <c r="B31" s="18"/>
      <c r="C31" s="18"/>
      <c r="D31" s="26">
        <f t="shared" ref="D31:E31" si="1">SUM(D11:D30)</f>
        <v>25574.37</v>
      </c>
      <c r="E31" s="26">
        <f t="shared" si="1"/>
        <v>176197.01</v>
      </c>
      <c r="F31" s="26">
        <f>SUM(E31/D31)*10</f>
        <v>68.895933702374691</v>
      </c>
    </row>
    <row r="32" spans="1:6" ht="14.4" x14ac:dyDescent="0.25">
      <c r="A32" s="27" t="s">
        <v>9</v>
      </c>
      <c r="B32" s="28"/>
      <c r="C32" s="28"/>
      <c r="D32" s="29">
        <v>21807</v>
      </c>
      <c r="E32" s="29">
        <v>146881.4</v>
      </c>
      <c r="F32" s="30">
        <f>SUM(E32/D32)*10</f>
        <v>67.355161186774893</v>
      </c>
    </row>
    <row r="33" spans="1:6" ht="14.4" x14ac:dyDescent="0.25">
      <c r="A33" s="31" t="s">
        <v>8</v>
      </c>
      <c r="B33" s="1"/>
      <c r="C33" s="1"/>
      <c r="D33" s="32">
        <v>25029.1</v>
      </c>
      <c r="E33" s="32">
        <v>171559.15</v>
      </c>
      <c r="F33" s="33">
        <f>SUM(E33/D33)*10</f>
        <v>68.543874929581975</v>
      </c>
    </row>
    <row r="34" spans="1:6" ht="14.4" x14ac:dyDescent="0.25">
      <c r="A34" s="31" t="s">
        <v>1</v>
      </c>
      <c r="B34" s="1"/>
      <c r="C34" s="1"/>
      <c r="D34" s="32">
        <v>25029.1</v>
      </c>
      <c r="E34" s="32">
        <v>171559.15000000002</v>
      </c>
      <c r="F34" s="33">
        <f>SUM(E34/D34)*10</f>
        <v>68.543874929581975</v>
      </c>
    </row>
    <row r="35" spans="1:6" ht="12.75" customHeight="1" thickBot="1" x14ac:dyDescent="0.3">
      <c r="A35" s="36" t="s">
        <v>0</v>
      </c>
      <c r="B35" s="35"/>
      <c r="C35" s="35"/>
      <c r="D35" s="32">
        <v>25131</v>
      </c>
      <c r="E35" s="32">
        <v>169204.91999999998</v>
      </c>
      <c r="F35" s="33">
        <f t="shared" ref="F35" si="2">SUM(E35/D35)*10</f>
        <v>67.329163184911053</v>
      </c>
    </row>
    <row r="36" spans="1:6" ht="12.75" customHeight="1" thickTop="1" x14ac:dyDescent="0.3">
      <c r="A36" s="34" t="s">
        <v>64</v>
      </c>
      <c r="B36" s="20"/>
      <c r="C36" s="20"/>
      <c r="D36" s="37"/>
      <c r="E36" s="37"/>
      <c r="F36" s="37"/>
    </row>
    <row r="37" spans="1:6" ht="12.75" customHeight="1" x14ac:dyDescent="0.25"/>
    <row r="38" spans="1:6" ht="12.75" customHeight="1" x14ac:dyDescent="0.25"/>
    <row r="39" spans="1:6" ht="12.75" customHeight="1" x14ac:dyDescent="0.25"/>
    <row r="40" spans="1:6" ht="12.75" customHeight="1" x14ac:dyDescent="0.25"/>
    <row r="41" spans="1:6" ht="12.75" customHeight="1" x14ac:dyDescent="0.25"/>
    <row r="42" spans="1:6" ht="12.75" customHeight="1" x14ac:dyDescent="0.25"/>
    <row r="43" spans="1:6" ht="12.75" customHeight="1" x14ac:dyDescent="0.25"/>
    <row r="44" spans="1:6" ht="12.75" customHeight="1" x14ac:dyDescent="0.25"/>
    <row r="45" spans="1:6" ht="12.75" customHeight="1" x14ac:dyDescent="0.25"/>
    <row r="46" spans="1:6" ht="12.75" customHeight="1" x14ac:dyDescent="0.25"/>
    <row r="47" spans="1:6" ht="12.75" customHeight="1" x14ac:dyDescent="0.25"/>
    <row r="48" spans="1:6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0">
    <mergeCell ref="A33:C33"/>
    <mergeCell ref="A34:C34"/>
    <mergeCell ref="A35:C35"/>
    <mergeCell ref="A31:C31"/>
    <mergeCell ref="A32:C32"/>
    <mergeCell ref="A9:C9"/>
    <mergeCell ref="A4:F4"/>
    <mergeCell ref="A5:C8"/>
    <mergeCell ref="D5:F5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2025-07-10T03:48:25Z</dcterms:created>
  <dcterms:modified xsi:type="dcterms:W3CDTF">2025-07-10T03:51:41Z</dcterms:modified>
</cp:coreProperties>
</file>