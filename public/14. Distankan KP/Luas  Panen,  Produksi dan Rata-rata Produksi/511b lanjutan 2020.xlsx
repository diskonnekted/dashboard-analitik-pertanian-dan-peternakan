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3B1C716-A06C-40B7-8929-7F9C1351D165}" xr6:coauthVersionLast="47" xr6:coauthVersionMax="47" xr10:uidLastSave="{00000000-0000-0000-0000-000000000000}"/>
  <bookViews>
    <workbookView xWindow="28680" yWindow="-120" windowWidth="29040" windowHeight="15720" xr2:uid="{0682E1E3-5BFE-4A61-BD18-CEFDB50D5E6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D28" i="1"/>
  <c r="E27" i="1"/>
  <c r="D27" i="1"/>
  <c r="E26" i="1"/>
  <c r="D26" i="1"/>
  <c r="F25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F13" i="1" s="1"/>
  <c r="D13" i="1"/>
  <c r="E12" i="1"/>
  <c r="D12" i="1"/>
  <c r="E11" i="1"/>
  <c r="D11" i="1"/>
  <c r="E10" i="1"/>
  <c r="D10" i="1"/>
  <c r="E9" i="1"/>
  <c r="D9" i="1"/>
  <c r="F17" i="1" l="1"/>
  <c r="F21" i="1"/>
  <c r="F9" i="1"/>
  <c r="F26" i="1"/>
  <c r="F19" i="1"/>
  <c r="F15" i="1"/>
  <c r="F11" i="1"/>
  <c r="F20" i="1"/>
  <c r="F16" i="1"/>
  <c r="F12" i="1"/>
  <c r="F27" i="1"/>
  <c r="F18" i="1"/>
  <c r="F10" i="1"/>
  <c r="F22" i="1"/>
  <c r="F28" i="1"/>
  <c r="F14" i="1"/>
  <c r="F23" i="1"/>
  <c r="F24" i="1"/>
  <c r="D29" i="1"/>
  <c r="F29" i="1"/>
  <c r="E29" i="1"/>
</calcChain>
</file>

<file path=xl/sharedStrings.xml><?xml version="1.0" encoding="utf-8"?>
<sst xmlns="http://schemas.openxmlformats.org/spreadsheetml/2006/main" count="65" uniqueCount="65">
  <si>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</si>
  <si>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</si>
  <si>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</si>
  <si>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</si>
  <si>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</si>
  <si>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Table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</si>
  <si>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</si>
  <si>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r>
      <t xml:space="preserve">Total Padi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Total of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</si>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</sst>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1" applyFont="1" applyAlignment="1">
      <alignment horizontal="left" shrinkToFit="1"/>
    </xf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6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6" fillId="0" borderId="0" xfId="1" applyFont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8" fillId="0" borderId="0" xfId="1" applyFont="1" applyAlignment="1">
      <alignment horizontal="center" vertical="top" wrapText="1"/>
    </xf>
    <xf numFmtId="0" fontId="5" fillId="0" borderId="4" xfId="1" applyFont="1" applyBorder="1"/>
    <xf numFmtId="0" fontId="6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5" fillId="0" borderId="5" xfId="1" applyFont="1" applyBorder="1"/>
    <xf numFmtId="0" fontId="6" fillId="0" borderId="5" xfId="1" applyFont="1" applyBorder="1" applyAlignment="1">
      <alignment horizontal="center" vertical="center"/>
    </xf>
    <xf numFmtId="0" fontId="6" fillId="0" borderId="3" xfId="1" applyFont="1" applyBorder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center"/>
    </xf>
    <xf numFmtId="164" fontId="6" fillId="0" borderId="3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3" fillId="0" borderId="5" xfId="1" applyFont="1" applyBorder="1"/>
    <xf numFmtId="164" fontId="4" fillId="0" borderId="3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horizontal="center" vertical="center"/>
    </xf>
    <xf numFmtId="0" fontId="5" fillId="0" borderId="3" xfId="1" applyFont="1" applyBorder="1"/>
    <xf numFmtId="164" fontId="6" fillId="2" borderId="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164" fontId="6" fillId="0" borderId="0" xfId="1" applyNumberFormat="1" applyFont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0" fontId="5" fillId="0" borderId="6" xfId="1" applyFont="1" applyBorder="1"/>
    <xf numFmtId="164" fontId="6" fillId="0" borderId="6" xfId="1" applyNumberFormat="1" applyFont="1" applyBorder="1" applyAlignment="1">
      <alignment horizontal="left" vertical="center"/>
    </xf>
    <xf numFmtId="0" fontId="6" fillId="0" borderId="0" xfId="1" applyFont="1" applyAlignment="1">
      <alignment vertical="top"/>
    </xf>
  </cellXfs>
  <cellStyles count="2">
    <cellStyle name="Normal" xfId="0" builtinId="0"/>
    <cellStyle name="Normal 4" xfId="1" xr:uid="{B2CB4C39-D06A-4689-9A73-9A07EBEEB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sp\AppData\Local\Microsoft\Windows\INetCache\IE\9JEYIKPT\14_Dinas_Pertanian,_Perikanan_dan_Ketahanan_Pangan_2018-2024%5b1%5d.xlsx" TargetMode="External"/><Relationship Id="rId1" Type="http://schemas.openxmlformats.org/officeDocument/2006/relationships/externalLinkPath" Target="file:///C:\Users\geosp\AppData\Local\Microsoft\Windows\INetCache\IE\9JEYIKPT\14_Dinas_Pertanian,_Perikanan_dan_Ketahanan_Pangan_2018-2024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.1.1 (KOR)"/>
      <sheetName val="5.1.2 (KOR)"/>
      <sheetName val="5.1.3 (KOR)"/>
      <sheetName val="5.2.1 (KOR) (2)"/>
      <sheetName val="5.2.2 (KOR) (2)"/>
      <sheetName val="5.2.3 (KOR)"/>
      <sheetName val="5.2.4 (KOR)"/>
      <sheetName val="5.2.5 (KOR) (2)"/>
      <sheetName val="5.2.6 (KOR) (2)"/>
      <sheetName val="5.2.7 (KOR)"/>
      <sheetName val="5.2.8 (KOR)"/>
      <sheetName val="5.2.9 (KOR)"/>
      <sheetName val="5.2.10  (KOR)"/>
      <sheetName val="5.2.11 (KOR)"/>
      <sheetName val="5.2.12 (KOR)"/>
      <sheetName val="5.2.13 (KOR) (2)"/>
      <sheetName val="5.2.14 (KOR)"/>
      <sheetName val="5.3.1 (KOR) (2)"/>
      <sheetName val="5.3.2 (KOR) (2)"/>
      <sheetName val="1.1.2"/>
      <sheetName val="12.1.3"/>
      <sheetName val="5.1.1.a (161)"/>
      <sheetName val="5.1.1.b (162)"/>
      <sheetName val="5.1.1.c (163)"/>
      <sheetName val="5.1.1.d (164)"/>
      <sheetName val="5.1.1.e (165)"/>
      <sheetName val="5.4.1 (201)"/>
      <sheetName val="5.4.2 (202)"/>
      <sheetName val="5.4.3 (203)"/>
      <sheetName val="5.4.4 (204)"/>
      <sheetName val="5.4.5 (22-23 tdk ada)"/>
      <sheetName val="5.4.6 (206)"/>
      <sheetName val="5.4.7 (207)"/>
      <sheetName val="5.4.8 (208)"/>
      <sheetName val="5.4.9 (208-1)"/>
      <sheetName val="5.4.9 (209)"/>
      <sheetName val="5.4.10 (210)"/>
      <sheetName val="5.5.1 (KOR)"/>
      <sheetName val="5.5.2 (KOR)"/>
      <sheetName val="5.5.3 (KOR)"/>
      <sheetName val="5.5.1 (211)"/>
      <sheetName val="5.5.2 (212)"/>
      <sheetName val="5.5.3 (213)"/>
      <sheetName val="5.5.4 (214)"/>
      <sheetName val="5.5.5 (215)"/>
      <sheetName val="5.5.6.a (216)"/>
      <sheetName val="5.5.6.b (217)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3">
          <cell r="Z13">
            <v>1981</v>
          </cell>
          <cell r="AA13">
            <v>14065</v>
          </cell>
          <cell r="AD13">
            <v>210</v>
          </cell>
          <cell r="AE13">
            <v>1050</v>
          </cell>
        </row>
        <row r="14">
          <cell r="Z14">
            <v>1543</v>
          </cell>
          <cell r="AA14">
            <v>11187</v>
          </cell>
          <cell r="AD14">
            <v>35</v>
          </cell>
          <cell r="AE14">
            <v>175</v>
          </cell>
        </row>
        <row r="15">
          <cell r="Z15">
            <v>3186</v>
          </cell>
          <cell r="AA15">
            <v>25934</v>
          </cell>
          <cell r="AD15">
            <v>290</v>
          </cell>
          <cell r="AE15">
            <v>1450</v>
          </cell>
        </row>
        <row r="16">
          <cell r="Z16">
            <v>2605</v>
          </cell>
          <cell r="AA16">
            <v>20580</v>
          </cell>
          <cell r="AD16">
            <v>130</v>
          </cell>
          <cell r="AE16">
            <v>650</v>
          </cell>
        </row>
        <row r="17">
          <cell r="Z17">
            <v>2016</v>
          </cell>
          <cell r="AA17">
            <v>15523</v>
          </cell>
          <cell r="AD17">
            <v>75</v>
          </cell>
          <cell r="AE17">
            <v>375</v>
          </cell>
        </row>
        <row r="18">
          <cell r="Z18">
            <v>857</v>
          </cell>
          <cell r="AA18">
            <v>6170</v>
          </cell>
          <cell r="AD18">
            <v>0</v>
          </cell>
          <cell r="AE18">
            <v>0</v>
          </cell>
        </row>
        <row r="19">
          <cell r="Z19">
            <v>295</v>
          </cell>
          <cell r="AA19">
            <v>2130</v>
          </cell>
          <cell r="AD19">
            <v>0</v>
          </cell>
          <cell r="AE19">
            <v>0</v>
          </cell>
        </row>
        <row r="20">
          <cell r="Z20">
            <v>307</v>
          </cell>
          <cell r="AA20">
            <v>2395</v>
          </cell>
          <cell r="AD20">
            <v>0</v>
          </cell>
          <cell r="AE20">
            <v>0</v>
          </cell>
        </row>
        <row r="21">
          <cell r="Z21">
            <v>1183</v>
          </cell>
          <cell r="AA21">
            <v>8636</v>
          </cell>
          <cell r="AD21">
            <v>0</v>
          </cell>
          <cell r="AE21">
            <v>0</v>
          </cell>
        </row>
        <row r="22">
          <cell r="Z22">
            <v>1102</v>
          </cell>
          <cell r="AA22">
            <v>7769</v>
          </cell>
          <cell r="AD22">
            <v>0</v>
          </cell>
          <cell r="AE22">
            <v>0</v>
          </cell>
        </row>
        <row r="23">
          <cell r="Z23">
            <v>1521</v>
          </cell>
          <cell r="AA23">
            <v>11103</v>
          </cell>
          <cell r="AD23">
            <v>0</v>
          </cell>
          <cell r="AE23">
            <v>0</v>
          </cell>
        </row>
        <row r="24">
          <cell r="Z24">
            <v>1628</v>
          </cell>
          <cell r="AA24">
            <v>10761</v>
          </cell>
          <cell r="AD24">
            <v>0</v>
          </cell>
          <cell r="AE24">
            <v>0</v>
          </cell>
        </row>
        <row r="25">
          <cell r="Z25">
            <v>1666</v>
          </cell>
          <cell r="AA25">
            <v>10662</v>
          </cell>
          <cell r="AD25">
            <v>0</v>
          </cell>
          <cell r="AE25">
            <v>0</v>
          </cell>
        </row>
        <row r="26">
          <cell r="Z26">
            <v>494</v>
          </cell>
          <cell r="AA26">
            <v>3013</v>
          </cell>
          <cell r="AD26">
            <v>0</v>
          </cell>
          <cell r="AE26">
            <v>0</v>
          </cell>
        </row>
        <row r="27">
          <cell r="Z27">
            <v>493</v>
          </cell>
          <cell r="AA27">
            <v>2712</v>
          </cell>
          <cell r="AD27">
            <v>0</v>
          </cell>
          <cell r="AE27">
            <v>0</v>
          </cell>
        </row>
        <row r="28">
          <cell r="Z28">
            <v>219</v>
          </cell>
          <cell r="AA28">
            <v>1007</v>
          </cell>
          <cell r="AD28">
            <v>0</v>
          </cell>
          <cell r="AE28">
            <v>0</v>
          </cell>
        </row>
        <row r="29"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Z30">
            <v>240</v>
          </cell>
          <cell r="AA30">
            <v>1176</v>
          </cell>
          <cell r="AD30">
            <v>0</v>
          </cell>
          <cell r="AE30">
            <v>0</v>
          </cell>
        </row>
        <row r="31">
          <cell r="Z31">
            <v>1298</v>
          </cell>
          <cell r="AA31">
            <v>7788</v>
          </cell>
          <cell r="AD31">
            <v>0</v>
          </cell>
          <cell r="AE31">
            <v>0</v>
          </cell>
        </row>
        <row r="32">
          <cell r="Z32">
            <v>948</v>
          </cell>
          <cell r="AA32">
            <v>4835</v>
          </cell>
          <cell r="AD32">
            <v>0</v>
          </cell>
          <cell r="AE32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E156-AC6F-4A8C-BB51-0AE9E3BE16F1}">
  <dimension ref="A1:F996"/>
  <sheetViews>
    <sheetView tabSelected="1" workbookViewId="0">
      <selection activeCell="H14" sqref="H14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6" width="15.77734375" style="6" customWidth="1"/>
    <col min="7" max="16384" width="14.44140625" style="6"/>
  </cols>
  <sheetData>
    <row r="1" spans="1:6" ht="12.75" customHeight="1" x14ac:dyDescent="0.3">
      <c r="A1" s="1" t="s">
        <v>2</v>
      </c>
      <c r="B1" s="5"/>
      <c r="C1" s="2" t="s">
        <v>3</v>
      </c>
      <c r="D1" s="3"/>
      <c r="E1" s="3"/>
      <c r="F1" s="3" t="s">
        <v>4</v>
      </c>
    </row>
    <row r="2" spans="1:6" ht="19.5" customHeight="1" thickBot="1" x14ac:dyDescent="0.35">
      <c r="A2" s="7" t="s">
        <v>5</v>
      </c>
      <c r="B2" s="3"/>
      <c r="C2" s="3"/>
      <c r="D2" s="2"/>
      <c r="E2" s="2"/>
      <c r="F2" s="2"/>
    </row>
    <row r="3" spans="1:6" ht="31.5" customHeight="1" thickTop="1" x14ac:dyDescent="0.3">
      <c r="A3" s="8" t="s">
        <v>6</v>
      </c>
      <c r="B3" s="9"/>
      <c r="C3" s="9"/>
      <c r="D3" s="10" t="s">
        <v>7</v>
      </c>
      <c r="E3" s="11"/>
      <c r="F3" s="11"/>
    </row>
    <row r="4" spans="1:6" ht="12.75" customHeight="1" x14ac:dyDescent="0.3">
      <c r="A4" s="5"/>
      <c r="B4" s="5"/>
      <c r="C4" s="5"/>
      <c r="D4" s="12" t="s">
        <v>8</v>
      </c>
      <c r="E4" s="13" t="s">
        <v>9</v>
      </c>
      <c r="F4" s="12" t="s">
        <v>10</v>
      </c>
    </row>
    <row r="5" spans="1:6" ht="14.4" x14ac:dyDescent="0.25">
      <c r="A5" s="5"/>
      <c r="B5" s="5"/>
      <c r="C5" s="5"/>
      <c r="D5" s="14" t="s">
        <v>11</v>
      </c>
      <c r="E5" s="14" t="s">
        <v>12</v>
      </c>
      <c r="F5" s="14" t="s">
        <v>13</v>
      </c>
    </row>
    <row r="6" spans="1:6" ht="12.75" customHeight="1" x14ac:dyDescent="0.25">
      <c r="A6" s="15"/>
      <c r="B6" s="15"/>
      <c r="C6" s="15"/>
      <c r="D6" s="16" t="s">
        <v>14</v>
      </c>
      <c r="E6" s="16" t="s">
        <v>15</v>
      </c>
      <c r="F6" s="16" t="s">
        <v>16</v>
      </c>
    </row>
    <row r="7" spans="1:6" ht="14.25" customHeight="1" x14ac:dyDescent="0.3">
      <c r="A7" s="17" t="s">
        <v>17</v>
      </c>
      <c r="B7" s="18"/>
      <c r="C7" s="18"/>
      <c r="D7" s="19" t="s">
        <v>18</v>
      </c>
      <c r="E7" s="19" t="s">
        <v>19</v>
      </c>
      <c r="F7" s="19" t="s">
        <v>20</v>
      </c>
    </row>
    <row r="8" spans="1:6" ht="14.4" hidden="1" x14ac:dyDescent="0.3">
      <c r="A8" s="4"/>
      <c r="B8" s="20"/>
      <c r="C8" s="20"/>
      <c r="D8" s="20"/>
      <c r="E8" s="4"/>
      <c r="F8" s="4"/>
    </row>
    <row r="9" spans="1:6" ht="14.4" x14ac:dyDescent="0.3">
      <c r="A9" s="21" t="s">
        <v>21</v>
      </c>
      <c r="B9" s="22" t="s">
        <v>22</v>
      </c>
      <c r="C9" s="22"/>
      <c r="D9" s="23">
        <f>SUM('[1]5.1.1.a (161)'!Z13,'[1]5.1.1.a (161)'!AD13)</f>
        <v>2191</v>
      </c>
      <c r="E9" s="23">
        <f>SUM('[1]5.1.1.a (161)'!AA13,'[1]5.1.1.a (161)'!AE13)</f>
        <v>15115</v>
      </c>
      <c r="F9" s="23">
        <f t="shared" ref="F9:F24" si="0">E9/D9*10</f>
        <v>68.986764034687354</v>
      </c>
    </row>
    <row r="10" spans="1:6" ht="14.4" x14ac:dyDescent="0.3">
      <c r="A10" s="21" t="s">
        <v>23</v>
      </c>
      <c r="B10" s="22" t="s">
        <v>24</v>
      </c>
      <c r="C10" s="22"/>
      <c r="D10" s="23">
        <f>SUM('[1]5.1.1.a (161)'!Z14,'[1]5.1.1.a (161)'!AD14)</f>
        <v>1578</v>
      </c>
      <c r="E10" s="23">
        <f>SUM('[1]5.1.1.a (161)'!AA14,'[1]5.1.1.a (161)'!AE14)</f>
        <v>11362</v>
      </c>
      <c r="F10" s="23">
        <f t="shared" si="0"/>
        <v>72.00253485424588</v>
      </c>
    </row>
    <row r="11" spans="1:6" ht="14.4" x14ac:dyDescent="0.3">
      <c r="A11" s="21" t="s">
        <v>25</v>
      </c>
      <c r="B11" s="22" t="s">
        <v>26</v>
      </c>
      <c r="C11" s="22"/>
      <c r="D11" s="23">
        <f>SUM('[1]5.1.1.a (161)'!Z15,'[1]5.1.1.a (161)'!AD15)</f>
        <v>3476</v>
      </c>
      <c r="E11" s="23">
        <f>SUM('[1]5.1.1.a (161)'!AA15,'[1]5.1.1.a (161)'!AE15)</f>
        <v>27384</v>
      </c>
      <c r="F11" s="23">
        <f t="shared" si="0"/>
        <v>78.780207134637521</v>
      </c>
    </row>
    <row r="12" spans="1:6" ht="14.4" x14ac:dyDescent="0.3">
      <c r="A12" s="21" t="s">
        <v>27</v>
      </c>
      <c r="B12" s="22" t="s">
        <v>28</v>
      </c>
      <c r="C12" s="22"/>
      <c r="D12" s="23">
        <f>SUM('[1]5.1.1.a (161)'!Z16,'[1]5.1.1.a (161)'!AD16)</f>
        <v>2735</v>
      </c>
      <c r="E12" s="23">
        <f>SUM('[1]5.1.1.a (161)'!AA16,'[1]5.1.1.a (161)'!AE16)</f>
        <v>21230</v>
      </c>
      <c r="F12" s="23">
        <f t="shared" si="0"/>
        <v>77.623400365630715</v>
      </c>
    </row>
    <row r="13" spans="1:6" ht="14.4" x14ac:dyDescent="0.3">
      <c r="A13" s="21" t="s">
        <v>29</v>
      </c>
      <c r="B13" s="22" t="s">
        <v>30</v>
      </c>
      <c r="C13" s="22"/>
      <c r="D13" s="23">
        <f>SUM('[1]5.1.1.a (161)'!Z17,'[1]5.1.1.a (161)'!AD17)</f>
        <v>2091</v>
      </c>
      <c r="E13" s="23">
        <f>SUM('[1]5.1.1.a (161)'!AA17,'[1]5.1.1.a (161)'!AE17)</f>
        <v>15898</v>
      </c>
      <c r="F13" s="23">
        <f t="shared" si="0"/>
        <v>76.030607364897179</v>
      </c>
    </row>
    <row r="14" spans="1:6" ht="14.4" x14ac:dyDescent="0.3">
      <c r="A14" s="21" t="s">
        <v>31</v>
      </c>
      <c r="B14" s="22" t="s">
        <v>32</v>
      </c>
      <c r="C14" s="22"/>
      <c r="D14" s="23">
        <f>SUM('[1]5.1.1.a (161)'!Z18,'[1]5.1.1.a (161)'!AD18)</f>
        <v>857</v>
      </c>
      <c r="E14" s="23">
        <f>SUM('[1]5.1.1.a (161)'!AA18,'[1]5.1.1.a (161)'!AE18)</f>
        <v>6170</v>
      </c>
      <c r="F14" s="23">
        <f t="shared" si="0"/>
        <v>71.995332555425904</v>
      </c>
    </row>
    <row r="15" spans="1:6" ht="14.4" x14ac:dyDescent="0.3">
      <c r="A15" s="21" t="s">
        <v>33</v>
      </c>
      <c r="B15" s="22" t="s">
        <v>34</v>
      </c>
      <c r="C15" s="22"/>
      <c r="D15" s="23">
        <f>SUM('[1]5.1.1.a (161)'!Z19,'[1]5.1.1.a (161)'!AD19)</f>
        <v>295</v>
      </c>
      <c r="E15" s="23">
        <f>SUM('[1]5.1.1.a (161)'!AA19,'[1]5.1.1.a (161)'!AE19)</f>
        <v>2130</v>
      </c>
      <c r="F15" s="23">
        <f t="shared" si="0"/>
        <v>72.203389830508485</v>
      </c>
    </row>
    <row r="16" spans="1:6" ht="14.4" x14ac:dyDescent="0.3">
      <c r="A16" s="21" t="s">
        <v>35</v>
      </c>
      <c r="B16" s="22" t="s">
        <v>36</v>
      </c>
      <c r="C16" s="22"/>
      <c r="D16" s="23">
        <f>SUM('[1]5.1.1.a (161)'!Z20,'[1]5.1.1.a (161)'!AD20)</f>
        <v>307</v>
      </c>
      <c r="E16" s="23">
        <f>SUM('[1]5.1.1.a (161)'!AA20,'[1]5.1.1.a (161)'!AE20)</f>
        <v>2395</v>
      </c>
      <c r="F16" s="23">
        <f t="shared" si="0"/>
        <v>78.013029315960921</v>
      </c>
    </row>
    <row r="17" spans="1:6" ht="14.4" x14ac:dyDescent="0.3">
      <c r="A17" s="21" t="s">
        <v>37</v>
      </c>
      <c r="B17" s="22" t="s">
        <v>38</v>
      </c>
      <c r="C17" s="22"/>
      <c r="D17" s="23">
        <f>SUM('[1]5.1.1.a (161)'!Z21,'[1]5.1.1.a (161)'!AD21)</f>
        <v>1183</v>
      </c>
      <c r="E17" s="23">
        <f>SUM('[1]5.1.1.a (161)'!AA21,'[1]5.1.1.a (161)'!AE21)</f>
        <v>8636</v>
      </c>
      <c r="F17" s="23">
        <f t="shared" si="0"/>
        <v>73.00084530853762</v>
      </c>
    </row>
    <row r="18" spans="1:6" ht="14.4" x14ac:dyDescent="0.3">
      <c r="A18" s="21" t="s">
        <v>39</v>
      </c>
      <c r="B18" s="22" t="s">
        <v>40</v>
      </c>
      <c r="C18" s="22"/>
      <c r="D18" s="23">
        <f>SUM('[1]5.1.1.a (161)'!Z22,'[1]5.1.1.a (161)'!AD22)</f>
        <v>1102</v>
      </c>
      <c r="E18" s="23">
        <f>SUM('[1]5.1.1.a (161)'!AA22,'[1]5.1.1.a (161)'!AE22)</f>
        <v>7769</v>
      </c>
      <c r="F18" s="23">
        <f t="shared" si="0"/>
        <v>70.499092558983676</v>
      </c>
    </row>
    <row r="19" spans="1:6" ht="14.4" x14ac:dyDescent="0.3">
      <c r="A19" s="21" t="s">
        <v>41</v>
      </c>
      <c r="B19" s="22" t="s">
        <v>42</v>
      </c>
      <c r="C19" s="22"/>
      <c r="D19" s="23">
        <f>SUM('[1]5.1.1.a (161)'!Z23,'[1]5.1.1.a (161)'!AD23)</f>
        <v>1521</v>
      </c>
      <c r="E19" s="23">
        <f>SUM('[1]5.1.1.a (161)'!AA23,'[1]5.1.1.a (161)'!AE23)</f>
        <v>11103</v>
      </c>
      <c r="F19" s="23">
        <f t="shared" si="0"/>
        <v>72.998027613412233</v>
      </c>
    </row>
    <row r="20" spans="1:6" ht="14.4" x14ac:dyDescent="0.3">
      <c r="A20" s="21" t="s">
        <v>43</v>
      </c>
      <c r="B20" s="22" t="s">
        <v>44</v>
      </c>
      <c r="C20" s="22"/>
      <c r="D20" s="23">
        <f>SUM('[1]5.1.1.a (161)'!Z24,'[1]5.1.1.a (161)'!AD24)</f>
        <v>1628</v>
      </c>
      <c r="E20" s="23">
        <f>SUM('[1]5.1.1.a (161)'!AA24,'[1]5.1.1.a (161)'!AE24)</f>
        <v>10761</v>
      </c>
      <c r="F20" s="23">
        <f t="shared" si="0"/>
        <v>66.099508599508596</v>
      </c>
    </row>
    <row r="21" spans="1:6" ht="14.4" x14ac:dyDescent="0.3">
      <c r="A21" s="21" t="s">
        <v>45</v>
      </c>
      <c r="B21" s="22" t="s">
        <v>46</v>
      </c>
      <c r="C21" s="22"/>
      <c r="D21" s="23">
        <f>SUM('[1]5.1.1.a (161)'!Z25,'[1]5.1.1.a (161)'!AD25)</f>
        <v>1666</v>
      </c>
      <c r="E21" s="23">
        <f>SUM('[1]5.1.1.a (161)'!AA25,'[1]5.1.1.a (161)'!AE25)</f>
        <v>10662</v>
      </c>
      <c r="F21" s="23">
        <f t="shared" si="0"/>
        <v>63.997599039615842</v>
      </c>
    </row>
    <row r="22" spans="1:6" ht="14.4" x14ac:dyDescent="0.3">
      <c r="A22" s="21" t="s">
        <v>47</v>
      </c>
      <c r="B22" s="22" t="s">
        <v>48</v>
      </c>
      <c r="C22" s="22"/>
      <c r="D22" s="23">
        <f>SUM('[1]5.1.1.a (161)'!Z26,'[1]5.1.1.a (161)'!AD26)</f>
        <v>494</v>
      </c>
      <c r="E22" s="23">
        <f>SUM('[1]5.1.1.a (161)'!AA26,'[1]5.1.1.a (161)'!AE26)</f>
        <v>3013</v>
      </c>
      <c r="F22" s="23">
        <f t="shared" si="0"/>
        <v>60.991902834008094</v>
      </c>
    </row>
    <row r="23" spans="1:6" ht="14.4" x14ac:dyDescent="0.3">
      <c r="A23" s="21" t="s">
        <v>49</v>
      </c>
      <c r="B23" s="22" t="s">
        <v>50</v>
      </c>
      <c r="C23" s="22"/>
      <c r="D23" s="23">
        <f>SUM('[1]5.1.1.a (161)'!Z27,'[1]5.1.1.a (161)'!AD27)</f>
        <v>493</v>
      </c>
      <c r="E23" s="23">
        <f>SUM('[1]5.1.1.a (161)'!AA27,'[1]5.1.1.a (161)'!AE27)</f>
        <v>2712</v>
      </c>
      <c r="F23" s="23">
        <f t="shared" si="0"/>
        <v>55.010141987829613</v>
      </c>
    </row>
    <row r="24" spans="1:6" ht="14.4" x14ac:dyDescent="0.3">
      <c r="A24" s="21" t="s">
        <v>51</v>
      </c>
      <c r="B24" s="22" t="s">
        <v>52</v>
      </c>
      <c r="C24" s="22"/>
      <c r="D24" s="23">
        <f>SUM('[1]5.1.1.a (161)'!Z28,'[1]5.1.1.a (161)'!AD28)</f>
        <v>219</v>
      </c>
      <c r="E24" s="23">
        <f>SUM('[1]5.1.1.a (161)'!AA28,'[1]5.1.1.a (161)'!AE28)</f>
        <v>1007</v>
      </c>
      <c r="F24" s="23">
        <f t="shared" si="0"/>
        <v>45.981735159817347</v>
      </c>
    </row>
    <row r="25" spans="1:6" ht="14.4" x14ac:dyDescent="0.3">
      <c r="A25" s="21" t="s">
        <v>53</v>
      </c>
      <c r="B25" s="22" t="s">
        <v>54</v>
      </c>
      <c r="C25" s="22"/>
      <c r="D25" s="23">
        <f>SUM('[1]5.1.1.a (161)'!Z29,'[1]5.1.1.a (161)'!AD29)</f>
        <v>0</v>
      </c>
      <c r="E25" s="23">
        <f>SUM('[1]5.1.1.a (161)'!AA29,'[1]5.1.1.a (161)'!AE29)</f>
        <v>0</v>
      </c>
      <c r="F25" s="23">
        <f>SUM('[1]5.1.1.a (161)'!AB29,'[1]5.1.1.a (161)'!AF29)</f>
        <v>0</v>
      </c>
    </row>
    <row r="26" spans="1:6" ht="14.4" x14ac:dyDescent="0.3">
      <c r="A26" s="21" t="s">
        <v>55</v>
      </c>
      <c r="B26" s="22" t="s">
        <v>56</v>
      </c>
      <c r="C26" s="22"/>
      <c r="D26" s="23">
        <f>SUM('[1]5.1.1.a (161)'!Z30,'[1]5.1.1.a (161)'!AD30)</f>
        <v>240</v>
      </c>
      <c r="E26" s="23">
        <f>SUM('[1]5.1.1.a (161)'!AA30,'[1]5.1.1.a (161)'!AE30)</f>
        <v>1176</v>
      </c>
      <c r="F26" s="23">
        <f t="shared" ref="F26:F28" si="1">E26/D26*10</f>
        <v>49</v>
      </c>
    </row>
    <row r="27" spans="1:6" ht="14.4" x14ac:dyDescent="0.3">
      <c r="A27" s="21" t="s">
        <v>57</v>
      </c>
      <c r="B27" s="22" t="s">
        <v>58</v>
      </c>
      <c r="C27" s="22"/>
      <c r="D27" s="23">
        <f>SUM('[1]5.1.1.a (161)'!Z31,'[1]5.1.1.a (161)'!AD31)</f>
        <v>1298</v>
      </c>
      <c r="E27" s="23">
        <f>SUM('[1]5.1.1.a (161)'!AA31,'[1]5.1.1.a (161)'!AE31)</f>
        <v>7788</v>
      </c>
      <c r="F27" s="23">
        <f t="shared" si="1"/>
        <v>60</v>
      </c>
    </row>
    <row r="28" spans="1:6" ht="14.4" x14ac:dyDescent="0.3">
      <c r="A28" s="21" t="s">
        <v>59</v>
      </c>
      <c r="B28" s="22" t="s">
        <v>60</v>
      </c>
      <c r="C28" s="22"/>
      <c r="D28" s="23">
        <f>SUM('[1]5.1.1.a (161)'!Z32,'[1]5.1.1.a (161)'!AD32)</f>
        <v>948</v>
      </c>
      <c r="E28" s="23">
        <f>SUM('[1]5.1.1.a (161)'!AA32,'[1]5.1.1.a (161)'!AE32)</f>
        <v>4835</v>
      </c>
      <c r="F28" s="23">
        <f t="shared" si="1"/>
        <v>51.002109704641356</v>
      </c>
    </row>
    <row r="29" spans="1:6" ht="14.4" x14ac:dyDescent="0.3">
      <c r="A29" s="25" t="s">
        <v>61</v>
      </c>
      <c r="B29" s="26"/>
      <c r="C29" s="26"/>
      <c r="D29" s="27">
        <f t="shared" ref="D29:E29" si="2">SUM(D9:D28)</f>
        <v>24322</v>
      </c>
      <c r="E29" s="27">
        <f t="shared" si="2"/>
        <v>171146</v>
      </c>
      <c r="F29" s="27">
        <f>SUM(F9:F28)/19</f>
        <v>66.537696224334113</v>
      </c>
    </row>
    <row r="30" spans="1:6" ht="14.4" x14ac:dyDescent="0.3">
      <c r="A30" s="28" t="s">
        <v>1</v>
      </c>
      <c r="B30" s="29"/>
      <c r="C30" s="29"/>
      <c r="D30" s="24">
        <v>24178.5</v>
      </c>
      <c r="E30" s="24">
        <v>170541.7</v>
      </c>
      <c r="F30" s="30">
        <v>70.534441756105593</v>
      </c>
    </row>
    <row r="31" spans="1:6" ht="14.4" x14ac:dyDescent="0.3">
      <c r="A31" s="31" t="s">
        <v>0</v>
      </c>
      <c r="B31" s="5"/>
      <c r="C31" s="5"/>
      <c r="D31" s="32">
        <v>25688.799999999999</v>
      </c>
      <c r="E31" s="32">
        <v>154287.87660456201</v>
      </c>
      <c r="F31" s="32">
        <v>60.060367399240803</v>
      </c>
    </row>
    <row r="32" spans="1:6" ht="14.4" x14ac:dyDescent="0.3">
      <c r="A32" s="31" t="s">
        <v>62</v>
      </c>
      <c r="B32" s="5"/>
      <c r="C32" s="5"/>
      <c r="D32" s="32">
        <v>25742.6</v>
      </c>
      <c r="E32" s="32">
        <v>151827</v>
      </c>
      <c r="F32" s="32">
        <v>58.98</v>
      </c>
    </row>
    <row r="33" spans="1:6" ht="15" thickBot="1" x14ac:dyDescent="0.35">
      <c r="A33" s="33" t="s">
        <v>63</v>
      </c>
      <c r="B33" s="34"/>
      <c r="C33" s="34"/>
      <c r="D33" s="35">
        <v>25454.5</v>
      </c>
      <c r="E33" s="35">
        <v>133423.99434290599</v>
      </c>
      <c r="F33" s="35">
        <v>52.42</v>
      </c>
    </row>
    <row r="34" spans="1:6" ht="15" thickTop="1" x14ac:dyDescent="0.3">
      <c r="A34" s="4" t="s">
        <v>64</v>
      </c>
      <c r="B34" s="4"/>
      <c r="C34" s="4"/>
      <c r="D34" s="4"/>
      <c r="E34" s="4"/>
      <c r="F34" s="4"/>
    </row>
    <row r="35" spans="1:6" ht="12.75" customHeight="1" x14ac:dyDescent="0.3">
      <c r="A35" s="36"/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9">
    <mergeCell ref="A33:C33"/>
    <mergeCell ref="A32:C32"/>
    <mergeCell ref="A31:C31"/>
    <mergeCell ref="A29:C29"/>
    <mergeCell ref="A30:C30"/>
    <mergeCell ref="A7:C7"/>
    <mergeCell ref="A3:C6"/>
    <mergeCell ref="D3:F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2025-07-10T03:48:55Z</dcterms:created>
  <dcterms:modified xsi:type="dcterms:W3CDTF">2025-07-10T03:50:26Z</dcterms:modified>
</cp:coreProperties>
</file>