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8BF0286-8E48-4A7F-8EA1-93EC5BBBF459}" xr6:coauthVersionLast="47" xr6:coauthVersionMax="47" xr10:uidLastSave="{00000000-0000-0000-0000-000000000000}"/>
  <bookViews>
    <workbookView xWindow="28680" yWindow="-120" windowWidth="29040" windowHeight="15720" xr2:uid="{28CDE608-4573-48B0-BFF2-8DC1CCFC6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F32" i="1"/>
  <c r="I31" i="1"/>
  <c r="F31" i="1"/>
  <c r="I30" i="1"/>
  <c r="F30" i="1"/>
  <c r="I29" i="1"/>
  <c r="F29" i="1"/>
  <c r="H28" i="1"/>
  <c r="G28" i="1"/>
  <c r="E28" i="1"/>
  <c r="D28" i="1"/>
  <c r="F28" i="1" l="1"/>
  <c r="I28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<sst xmlns="http://schemas.openxmlformats.org/spreadsheetml/2006/main" count="78" uniqueCount="69">
  <si>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</si>
  <si>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</si>
  <si>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Tahun 2020</t>
  </si>
  <si>
    <t>Tahun 2021</t>
  </si>
  <si>
    <t>Tabel : 5.1.3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</si>
  <si>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</si>
  <si>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</si>
  <si>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Table</t>
  </si>
  <si>
    <r>
      <rPr>
        <sz val="9"/>
        <color theme="1"/>
        <rFont val="Calibri"/>
        <family val="2"/>
      </rPr>
      <t xml:space="preserve">Kecamatan             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</si>
  <si>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Kacang Tanah                                    </t>
    </r>
    <r>
      <rPr>
        <i/>
        <sz val="9"/>
        <color theme="1"/>
        <rFont val="Calibri"/>
        <family val="2"/>
      </rPr>
      <t>Peanut</t>
    </r>
  </si>
  <si>
    <r>
      <rPr>
        <sz val="9"/>
        <color theme="1"/>
        <rFont val="Calibri"/>
        <family val="2"/>
      </rPr>
      <t xml:space="preserve">Kedelai                                            </t>
    </r>
    <r>
      <rPr>
        <i/>
        <sz val="9"/>
        <color theme="1"/>
        <rFont val="Calibri"/>
        <family val="2"/>
      </rPr>
      <t>Soybean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</si>
  <si>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</si>
  <si>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</si>
  <si>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</si>
  <si>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</si>
  <si>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</si>
  <si>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</si>
  <si>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</si>
  <si>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</si>
  <si>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</si>
  <si>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</si>
  <si>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(17)</t>
  </si>
  <si>
    <t>(18)</t>
  </si>
  <si>
    <t>(19)</t>
  </si>
  <si>
    <t>(20)</t>
  </si>
  <si>
    <t>(21)</t>
  </si>
  <si>
    <t>(22)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</si>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</sst>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* #,##0.00_-;\-* #,##0.00_-;_-* &quot;-&quot;_-;_-@_-"/>
    <numFmt numFmtId="165" formatCode="_-* #,##0.00_-;\-* #,##0.00_-;_-* &quot;-&quot;_-;_-@"/>
    <numFmt numFmtId="168" formatCode="_(* #,##0_);_(* \(#,##0\);_(* \-??_);_(@_)"/>
    <numFmt numFmtId="169" formatCode="_(* #,##0.00_);_(* \(#,##0.00\);_(* \-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6" fillId="0" borderId="0" xfId="1" applyNumberFormat="1" applyFont="1"/>
    <xf numFmtId="165" fontId="6" fillId="0" borderId="0" xfId="1" applyNumberFormat="1" applyFont="1" applyAlignment="1">
      <alignment horizontal="center"/>
    </xf>
    <xf numFmtId="168" fontId="3" fillId="2" borderId="5" xfId="1" applyNumberFormat="1" applyFont="1" applyFill="1" applyBorder="1" applyAlignment="1">
      <alignment horizontal="center" vertical="center"/>
    </xf>
    <xf numFmtId="169" fontId="3" fillId="2" borderId="3" xfId="1" applyNumberFormat="1" applyFont="1" applyFill="1" applyBorder="1" applyAlignment="1">
      <alignment horizontal="left" vertical="center"/>
    </xf>
    <xf numFmtId="165" fontId="3" fillId="2" borderId="3" xfId="1" applyNumberFormat="1" applyFont="1" applyFill="1" applyBorder="1" applyAlignment="1">
      <alignment horizontal="left" vertical="center"/>
    </xf>
    <xf numFmtId="165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left" vertical="center"/>
    </xf>
    <xf numFmtId="165" fontId="3" fillId="0" borderId="3" xfId="1" applyNumberFormat="1" applyFont="1" applyBorder="1" applyAlignment="1">
      <alignment horizontal="left" vertical="center"/>
    </xf>
    <xf numFmtId="165" fontId="3" fillId="0" borderId="3" xfId="1" applyNumberFormat="1" applyFont="1" applyBorder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3" fillId="0" borderId="0" xfId="1" applyNumberFormat="1" applyFont="1" applyAlignment="1">
      <alignment horizontal="left" vertical="center"/>
    </xf>
    <xf numFmtId="165" fontId="3" fillId="0" borderId="0" xfId="1" applyNumberFormat="1" applyFont="1" applyAlignment="1">
      <alignment vertical="center"/>
    </xf>
    <xf numFmtId="165" fontId="4" fillId="0" borderId="6" xfId="1" applyNumberFormat="1" applyFont="1" applyBorder="1" applyAlignment="1">
      <alignment horizontal="center" vertical="center"/>
    </xf>
    <xf numFmtId="0" fontId="1" fillId="0" borderId="6" xfId="1" applyBorder="1"/>
    <xf numFmtId="165" fontId="4" fillId="0" borderId="6" xfId="1" applyNumberFormat="1" applyFont="1" applyBorder="1" applyAlignment="1">
      <alignment horizontal="left" vertical="center"/>
    </xf>
    <xf numFmtId="165" fontId="3" fillId="0" borderId="6" xfId="1" applyNumberFormat="1" applyFont="1" applyBorder="1" applyAlignment="1">
      <alignment horizontal="left" vertical="center"/>
    </xf>
    <xf numFmtId="165" fontId="3" fillId="0" borderId="6" xfId="1" applyNumberFormat="1" applyFont="1" applyBorder="1" applyAlignment="1">
      <alignment vertical="center"/>
    </xf>
    <xf numFmtId="0" fontId="4" fillId="0" borderId="0" xfId="1" applyFont="1" applyAlignment="1">
      <alignment vertical="top"/>
    </xf>
  </cellXfs>
  <cellStyles count="3">
    <cellStyle name="Comma [0] 3" xfId="2" xr:uid="{DE900446-6832-410E-968D-4D6B70529A65}"/>
    <cellStyle name="Normal" xfId="0" builtinId="0"/>
    <cellStyle name="Normal 4" xfId="1" xr:uid="{24941F41-6B81-4E42-AD6C-8E09892F7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F32B-0F04-438B-9BCE-EFE85A9BBCB3}">
  <dimension ref="A1:I996"/>
  <sheetViews>
    <sheetView tabSelected="1" workbookViewId="0">
      <selection activeCell="L11" sqref="L1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4.77734375" style="6" customWidth="1"/>
    <col min="4" max="4" width="9.77734375" style="6" customWidth="1"/>
    <col min="5" max="5" width="10.21875" style="6" customWidth="1"/>
    <col min="6" max="6" width="8.21875" style="6" customWidth="1"/>
    <col min="7" max="7" width="9.77734375" style="6" customWidth="1"/>
    <col min="8" max="8" width="10.5546875" style="6" customWidth="1"/>
    <col min="9" max="9" width="7.77734375" style="6" customWidth="1"/>
    <col min="10" max="16384" width="14.44140625" style="6"/>
  </cols>
  <sheetData>
    <row r="1" spans="1:9" ht="14.4" x14ac:dyDescent="0.3">
      <c r="A1" s="1" t="s">
        <v>4</v>
      </c>
      <c r="B1" s="2"/>
      <c r="C1" s="3" t="s">
        <v>5</v>
      </c>
      <c r="D1" s="4"/>
      <c r="E1" s="5"/>
      <c r="F1" s="5"/>
      <c r="G1" s="5"/>
      <c r="H1" s="5"/>
      <c r="I1" s="7" t="s">
        <v>6</v>
      </c>
    </row>
    <row r="2" spans="1:9" ht="15" thickBot="1" x14ac:dyDescent="0.35">
      <c r="A2" s="8" t="s">
        <v>7</v>
      </c>
      <c r="B2" s="5"/>
      <c r="C2" s="5"/>
      <c r="D2" s="5"/>
      <c r="E2" s="3"/>
      <c r="F2" s="3"/>
      <c r="G2" s="3"/>
      <c r="H2" s="3"/>
      <c r="I2" s="3"/>
    </row>
    <row r="3" spans="1:9" ht="27.75" customHeight="1" thickTop="1" x14ac:dyDescent="0.25">
      <c r="A3" s="9" t="s">
        <v>8</v>
      </c>
      <c r="B3" s="10"/>
      <c r="C3" s="10"/>
      <c r="D3" s="11" t="s">
        <v>9</v>
      </c>
      <c r="E3" s="12"/>
      <c r="F3" s="12"/>
      <c r="G3" s="11" t="s">
        <v>10</v>
      </c>
      <c r="H3" s="12"/>
      <c r="I3" s="12"/>
    </row>
    <row r="4" spans="1:9" ht="12.75" customHeight="1" x14ac:dyDescent="0.25">
      <c r="A4" s="2"/>
      <c r="B4" s="2"/>
      <c r="C4" s="2"/>
      <c r="D4" s="13" t="s">
        <v>11</v>
      </c>
      <c r="E4" s="14" t="s">
        <v>12</v>
      </c>
      <c r="F4" s="13" t="s">
        <v>13</v>
      </c>
      <c r="G4" s="13" t="s">
        <v>11</v>
      </c>
      <c r="H4" s="14" t="s">
        <v>12</v>
      </c>
      <c r="I4" s="13" t="s">
        <v>13</v>
      </c>
    </row>
    <row r="5" spans="1:9" ht="24" x14ac:dyDescent="0.25">
      <c r="A5" s="2"/>
      <c r="B5" s="2"/>
      <c r="C5" s="2"/>
      <c r="D5" s="15" t="s">
        <v>14</v>
      </c>
      <c r="E5" s="15" t="s">
        <v>15</v>
      </c>
      <c r="F5" s="15" t="s">
        <v>16</v>
      </c>
      <c r="G5" s="15" t="s">
        <v>14</v>
      </c>
      <c r="H5" s="15" t="s">
        <v>15</v>
      </c>
      <c r="I5" s="15" t="s">
        <v>16</v>
      </c>
    </row>
    <row r="6" spans="1:9" x14ac:dyDescent="0.25">
      <c r="A6" s="16"/>
      <c r="B6" s="16"/>
      <c r="C6" s="16"/>
      <c r="D6" s="17" t="s">
        <v>17</v>
      </c>
      <c r="E6" s="17" t="s">
        <v>18</v>
      </c>
      <c r="F6" s="17" t="s">
        <v>19</v>
      </c>
      <c r="G6" s="17" t="s">
        <v>17</v>
      </c>
      <c r="H6" s="17" t="s">
        <v>18</v>
      </c>
      <c r="I6" s="17" t="s">
        <v>19</v>
      </c>
    </row>
    <row r="7" spans="1:9" x14ac:dyDescent="0.25">
      <c r="A7" s="18" t="s">
        <v>20</v>
      </c>
      <c r="B7" s="19"/>
      <c r="C7" s="1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</row>
    <row r="8" spans="1:9" ht="7.5" hidden="1" customHeight="1" x14ac:dyDescent="0.3">
      <c r="A8" s="21" t="s">
        <v>27</v>
      </c>
      <c r="B8" s="22" t="s">
        <v>28</v>
      </c>
      <c r="C8" s="22"/>
      <c r="D8" s="23">
        <v>11</v>
      </c>
      <c r="E8" s="23">
        <v>28.5</v>
      </c>
      <c r="F8" s="23">
        <v>25.909090909090907</v>
      </c>
      <c r="G8" s="24">
        <v>275</v>
      </c>
      <c r="H8" s="24">
        <v>336.58</v>
      </c>
      <c r="I8" s="23">
        <v>12.239272727272727</v>
      </c>
    </row>
    <row r="9" spans="1:9" ht="14.4" x14ac:dyDescent="0.3">
      <c r="A9" s="21" t="s">
        <v>29</v>
      </c>
      <c r="B9" s="22" t="s">
        <v>30</v>
      </c>
      <c r="C9" s="22"/>
      <c r="D9" s="23">
        <v>19</v>
      </c>
      <c r="E9" s="23">
        <v>47.5</v>
      </c>
      <c r="F9" s="23">
        <v>25</v>
      </c>
      <c r="G9" s="24">
        <v>10</v>
      </c>
      <c r="H9" s="24">
        <v>15.12</v>
      </c>
      <c r="I9" s="23">
        <v>15.120000000000001</v>
      </c>
    </row>
    <row r="10" spans="1:9" ht="14.4" x14ac:dyDescent="0.3">
      <c r="A10" s="21" t="s">
        <v>31</v>
      </c>
      <c r="B10" s="22" t="s">
        <v>32</v>
      </c>
      <c r="C10" s="22"/>
      <c r="D10" s="23">
        <v>2</v>
      </c>
      <c r="E10" s="23">
        <v>6.4</v>
      </c>
      <c r="F10" s="23">
        <v>32</v>
      </c>
      <c r="G10" s="24">
        <v>0</v>
      </c>
      <c r="H10" s="24">
        <v>0</v>
      </c>
      <c r="I10" s="23">
        <v>0</v>
      </c>
    </row>
    <row r="11" spans="1:9" ht="14.4" x14ac:dyDescent="0.3">
      <c r="A11" s="21" t="s">
        <v>33</v>
      </c>
      <c r="B11" s="22" t="s">
        <v>34</v>
      </c>
      <c r="C11" s="22"/>
      <c r="D11" s="23">
        <v>140</v>
      </c>
      <c r="E11" s="23">
        <v>346</v>
      </c>
      <c r="F11" s="23">
        <v>24.714285714285715</v>
      </c>
      <c r="G11" s="24">
        <v>0</v>
      </c>
      <c r="H11" s="24">
        <v>0</v>
      </c>
      <c r="I11" s="23">
        <v>0</v>
      </c>
    </row>
    <row r="12" spans="1:9" ht="14.4" x14ac:dyDescent="0.3">
      <c r="A12" s="21" t="s">
        <v>35</v>
      </c>
      <c r="B12" s="22" t="s">
        <v>36</v>
      </c>
      <c r="C12" s="22"/>
      <c r="D12" s="23">
        <v>74</v>
      </c>
      <c r="E12" s="23">
        <v>170.2</v>
      </c>
      <c r="F12" s="23">
        <v>23</v>
      </c>
      <c r="G12" s="24">
        <v>3</v>
      </c>
      <c r="H12" s="24">
        <v>4</v>
      </c>
      <c r="I12" s="23">
        <v>13.333333333333332</v>
      </c>
    </row>
    <row r="13" spans="1:9" ht="14.4" x14ac:dyDescent="0.3">
      <c r="A13" s="21" t="s">
        <v>37</v>
      </c>
      <c r="B13" s="22" t="s">
        <v>38</v>
      </c>
      <c r="C13" s="22"/>
      <c r="D13" s="23">
        <v>32</v>
      </c>
      <c r="E13" s="23">
        <v>78.2</v>
      </c>
      <c r="F13" s="23">
        <v>24.4375</v>
      </c>
      <c r="G13" s="24">
        <v>0</v>
      </c>
      <c r="H13" s="24">
        <v>0</v>
      </c>
      <c r="I13" s="24">
        <v>0</v>
      </c>
    </row>
    <row r="14" spans="1:9" ht="14.4" x14ac:dyDescent="0.3">
      <c r="A14" s="21" t="s">
        <v>39</v>
      </c>
      <c r="B14" s="22" t="s">
        <v>40</v>
      </c>
      <c r="C14" s="22"/>
      <c r="D14" s="23">
        <v>3</v>
      </c>
      <c r="E14" s="23">
        <v>4.9000000000000004</v>
      </c>
      <c r="F14" s="23">
        <v>16.333333333333336</v>
      </c>
      <c r="G14" s="24">
        <v>0</v>
      </c>
      <c r="H14" s="24">
        <v>0</v>
      </c>
      <c r="I14" s="24">
        <v>0</v>
      </c>
    </row>
    <row r="15" spans="1:9" ht="14.4" x14ac:dyDescent="0.3">
      <c r="A15" s="21" t="s">
        <v>41</v>
      </c>
      <c r="B15" s="22" t="s">
        <v>42</v>
      </c>
      <c r="C15" s="22"/>
      <c r="D15" s="23">
        <v>0</v>
      </c>
      <c r="E15" s="23">
        <v>0</v>
      </c>
      <c r="F15" s="23">
        <v>0</v>
      </c>
      <c r="G15" s="24">
        <v>0</v>
      </c>
      <c r="H15" s="24">
        <v>0</v>
      </c>
      <c r="I15" s="24">
        <v>0</v>
      </c>
    </row>
    <row r="16" spans="1:9" ht="14.4" x14ac:dyDescent="0.3">
      <c r="A16" s="21" t="s">
        <v>43</v>
      </c>
      <c r="B16" s="22" t="s">
        <v>44</v>
      </c>
      <c r="C16" s="22"/>
      <c r="D16" s="23">
        <v>58</v>
      </c>
      <c r="E16" s="23">
        <v>215</v>
      </c>
      <c r="F16" s="23">
        <v>37.068965517241381</v>
      </c>
      <c r="G16" s="24">
        <v>0</v>
      </c>
      <c r="H16" s="24">
        <v>0</v>
      </c>
      <c r="I16" s="24">
        <v>0</v>
      </c>
    </row>
    <row r="17" spans="1:9" ht="14.4" x14ac:dyDescent="0.3">
      <c r="A17" s="21" t="s">
        <v>45</v>
      </c>
      <c r="B17" s="22" t="s">
        <v>46</v>
      </c>
      <c r="C17" s="22"/>
      <c r="D17" s="25">
        <v>0</v>
      </c>
      <c r="E17" s="25">
        <v>0</v>
      </c>
      <c r="F17" s="25">
        <v>0</v>
      </c>
      <c r="G17" s="24">
        <v>0</v>
      </c>
      <c r="H17" s="24">
        <v>0</v>
      </c>
      <c r="I17" s="24">
        <v>0</v>
      </c>
    </row>
    <row r="18" spans="1:9" ht="14.4" x14ac:dyDescent="0.3">
      <c r="A18" s="21" t="s">
        <v>47</v>
      </c>
      <c r="B18" s="22" t="s">
        <v>48</v>
      </c>
      <c r="C18" s="22"/>
      <c r="D18" s="23">
        <v>0</v>
      </c>
      <c r="E18" s="23">
        <v>0</v>
      </c>
      <c r="F18" s="23">
        <v>0</v>
      </c>
      <c r="G18" s="24">
        <v>0</v>
      </c>
      <c r="H18" s="24">
        <v>0</v>
      </c>
      <c r="I18" s="23">
        <v>0</v>
      </c>
    </row>
    <row r="19" spans="1:9" ht="14.4" x14ac:dyDescent="0.3">
      <c r="A19" s="21" t="s">
        <v>49</v>
      </c>
      <c r="B19" s="22" t="s">
        <v>50</v>
      </c>
      <c r="C19" s="22"/>
      <c r="D19" s="23">
        <v>69</v>
      </c>
      <c r="E19" s="23">
        <v>168</v>
      </c>
      <c r="F19" s="23">
        <v>24.347826086956523</v>
      </c>
      <c r="G19" s="24">
        <v>0</v>
      </c>
      <c r="H19" s="24">
        <v>0</v>
      </c>
      <c r="I19" s="24">
        <v>0</v>
      </c>
    </row>
    <row r="20" spans="1:9" ht="14.4" x14ac:dyDescent="0.3">
      <c r="A20" s="21" t="s">
        <v>51</v>
      </c>
      <c r="B20" s="22" t="s">
        <v>52</v>
      </c>
      <c r="C20" s="22"/>
      <c r="D20" s="25">
        <v>0</v>
      </c>
      <c r="E20" s="25">
        <v>0</v>
      </c>
      <c r="F20" s="25">
        <v>0</v>
      </c>
      <c r="G20" s="24">
        <v>0</v>
      </c>
      <c r="H20" s="24">
        <v>0</v>
      </c>
      <c r="I20" s="23">
        <v>0</v>
      </c>
    </row>
    <row r="21" spans="1:9" ht="14.4" x14ac:dyDescent="0.3">
      <c r="A21" s="21" t="s">
        <v>53</v>
      </c>
      <c r="B21" s="22" t="s">
        <v>54</v>
      </c>
      <c r="C21" s="22"/>
      <c r="D21" s="23">
        <v>10</v>
      </c>
      <c r="E21" s="23">
        <v>26.51</v>
      </c>
      <c r="F21" s="23">
        <v>26.51</v>
      </c>
      <c r="G21" s="24">
        <v>0</v>
      </c>
      <c r="H21" s="24">
        <v>0</v>
      </c>
      <c r="I21" s="24">
        <v>0</v>
      </c>
    </row>
    <row r="22" spans="1:9" ht="14.4" x14ac:dyDescent="0.3">
      <c r="A22" s="21" t="s">
        <v>55</v>
      </c>
      <c r="B22" s="22" t="s">
        <v>56</v>
      </c>
      <c r="C22" s="22"/>
      <c r="D22" s="25">
        <v>0</v>
      </c>
      <c r="E22" s="25">
        <v>0</v>
      </c>
      <c r="F22" s="25">
        <v>0</v>
      </c>
      <c r="G22" s="24">
        <v>0</v>
      </c>
      <c r="H22" s="24">
        <v>0</v>
      </c>
      <c r="I22" s="24">
        <v>0</v>
      </c>
    </row>
    <row r="23" spans="1:9" ht="14.4" x14ac:dyDescent="0.3">
      <c r="A23" s="21" t="s">
        <v>57</v>
      </c>
      <c r="B23" s="22" t="s">
        <v>58</v>
      </c>
      <c r="C23" s="22"/>
      <c r="D23" s="23">
        <v>8</v>
      </c>
      <c r="E23" s="23">
        <v>22.24</v>
      </c>
      <c r="F23" s="23">
        <v>27.799999999999997</v>
      </c>
      <c r="G23" s="24">
        <v>0</v>
      </c>
      <c r="H23" s="24">
        <v>0</v>
      </c>
      <c r="I23" s="24">
        <v>0</v>
      </c>
    </row>
    <row r="24" spans="1:9" ht="14.4" x14ac:dyDescent="0.3">
      <c r="A24" s="21" t="s">
        <v>59</v>
      </c>
      <c r="B24" s="22" t="s">
        <v>60</v>
      </c>
      <c r="C24" s="22"/>
      <c r="D24" s="25">
        <v>0</v>
      </c>
      <c r="E24" s="25">
        <v>0</v>
      </c>
      <c r="F24" s="25">
        <v>0</v>
      </c>
      <c r="G24" s="24">
        <v>0</v>
      </c>
      <c r="H24" s="24">
        <v>0</v>
      </c>
      <c r="I24" s="24">
        <v>0</v>
      </c>
    </row>
    <row r="25" spans="1:9" ht="14.4" x14ac:dyDescent="0.3">
      <c r="A25" s="21" t="s">
        <v>61</v>
      </c>
      <c r="B25" s="22" t="s">
        <v>62</v>
      </c>
      <c r="C25" s="22"/>
      <c r="D25" s="25">
        <v>0</v>
      </c>
      <c r="E25" s="25">
        <v>0</v>
      </c>
      <c r="F25" s="25">
        <v>0</v>
      </c>
      <c r="G25" s="24">
        <v>0</v>
      </c>
      <c r="H25" s="24">
        <v>0</v>
      </c>
      <c r="I25" s="23">
        <v>0</v>
      </c>
    </row>
    <row r="26" spans="1:9" ht="14.4" x14ac:dyDescent="0.3">
      <c r="A26" s="21" t="s">
        <v>63</v>
      </c>
      <c r="B26" s="22" t="s">
        <v>64</v>
      </c>
      <c r="C26" s="22"/>
      <c r="D26" s="25">
        <v>0</v>
      </c>
      <c r="E26" s="25">
        <v>0</v>
      </c>
      <c r="F26" s="25">
        <v>0</v>
      </c>
      <c r="G26" s="24">
        <v>0</v>
      </c>
      <c r="H26" s="24">
        <v>0</v>
      </c>
      <c r="I26" s="24">
        <v>0</v>
      </c>
    </row>
    <row r="27" spans="1:9" ht="14.4" x14ac:dyDescent="0.3">
      <c r="A27" s="21" t="s">
        <v>65</v>
      </c>
      <c r="B27" s="22" t="s">
        <v>66</v>
      </c>
      <c r="C27" s="22"/>
      <c r="D27" s="23">
        <v>0</v>
      </c>
      <c r="E27" s="25">
        <v>0</v>
      </c>
      <c r="F27" s="25">
        <v>0</v>
      </c>
      <c r="G27" s="24">
        <v>0</v>
      </c>
      <c r="H27" s="24">
        <v>0</v>
      </c>
      <c r="I27" s="24">
        <v>0</v>
      </c>
    </row>
    <row r="28" spans="1:9" ht="14.4" x14ac:dyDescent="0.25">
      <c r="A28" s="26" t="s">
        <v>67</v>
      </c>
      <c r="B28" s="19"/>
      <c r="C28" s="19"/>
      <c r="D28" s="27">
        <f t="shared" ref="D28:E28" si="0">SUM(D8:D27)</f>
        <v>426</v>
      </c>
      <c r="E28" s="27">
        <f t="shared" si="0"/>
        <v>1113.4499999999998</v>
      </c>
      <c r="F28" s="28">
        <f t="shared" ref="F28:F32" si="1">SUM(E28/D28)*10</f>
        <v>26.137323943661968</v>
      </c>
      <c r="G28" s="27">
        <f t="shared" ref="G28:H28" si="2">SUM(G8:G27)</f>
        <v>288</v>
      </c>
      <c r="H28" s="27">
        <f t="shared" si="2"/>
        <v>355.7</v>
      </c>
      <c r="I28" s="28">
        <f t="shared" ref="I28:I32" si="3">SUM(H28/G28)*10</f>
        <v>12.350694444444443</v>
      </c>
    </row>
    <row r="29" spans="1:9" ht="14.4" x14ac:dyDescent="0.25">
      <c r="A29" s="29" t="s">
        <v>3</v>
      </c>
      <c r="B29" s="30"/>
      <c r="C29" s="30"/>
      <c r="D29" s="31">
        <v>668</v>
      </c>
      <c r="E29" s="31">
        <v>1403.7</v>
      </c>
      <c r="F29" s="32">
        <f t="shared" si="1"/>
        <v>21.013473053892216</v>
      </c>
      <c r="G29" s="31">
        <v>459</v>
      </c>
      <c r="H29" s="31">
        <v>635.44000000000005</v>
      </c>
      <c r="I29" s="33">
        <f t="shared" si="3"/>
        <v>13.844008714596951</v>
      </c>
    </row>
    <row r="30" spans="1:9" ht="14.4" x14ac:dyDescent="0.25">
      <c r="A30" s="34" t="s">
        <v>2</v>
      </c>
      <c r="B30" s="2"/>
      <c r="C30" s="2"/>
      <c r="D30" s="35">
        <v>2589</v>
      </c>
      <c r="E30" s="35">
        <v>9890</v>
      </c>
      <c r="F30" s="36">
        <f t="shared" si="1"/>
        <v>38.200077249903437</v>
      </c>
      <c r="G30" s="35">
        <v>572</v>
      </c>
      <c r="H30" s="35">
        <v>838.4</v>
      </c>
      <c r="I30" s="37">
        <f t="shared" si="3"/>
        <v>14.657342657342658</v>
      </c>
    </row>
    <row r="31" spans="1:9" ht="14.4" x14ac:dyDescent="0.25">
      <c r="A31" s="34" t="s">
        <v>1</v>
      </c>
      <c r="B31" s="2"/>
      <c r="C31" s="2"/>
      <c r="D31" s="35">
        <v>534.1</v>
      </c>
      <c r="E31" s="35">
        <v>582.55999999999995</v>
      </c>
      <c r="F31" s="36">
        <f t="shared" si="1"/>
        <v>10.907320726455719</v>
      </c>
      <c r="G31" s="35">
        <v>589.1</v>
      </c>
      <c r="H31" s="35">
        <v>661.44</v>
      </c>
      <c r="I31" s="37">
        <f t="shared" si="3"/>
        <v>11.227974876930913</v>
      </c>
    </row>
    <row r="32" spans="1:9" ht="15" thickBot="1" x14ac:dyDescent="0.3">
      <c r="A32" s="38" t="s">
        <v>0</v>
      </c>
      <c r="B32" s="39"/>
      <c r="C32" s="39"/>
      <c r="D32" s="40">
        <v>1313.8</v>
      </c>
      <c r="E32" s="40">
        <v>1287.4422</v>
      </c>
      <c r="F32" s="41">
        <f t="shared" si="1"/>
        <v>9.7993773785964375</v>
      </c>
      <c r="G32" s="40">
        <v>2265.6</v>
      </c>
      <c r="H32" s="40">
        <v>2958.1709999999998</v>
      </c>
      <c r="I32" s="42">
        <f t="shared" si="3"/>
        <v>13.056898834745763</v>
      </c>
    </row>
    <row r="33" spans="1:9" ht="15" thickTop="1" x14ac:dyDescent="0.3">
      <c r="A33" s="4" t="s">
        <v>68</v>
      </c>
      <c r="B33" s="4"/>
      <c r="C33" s="4"/>
      <c r="D33" s="4"/>
      <c r="E33" s="4"/>
      <c r="F33" s="4"/>
      <c r="G33" s="4"/>
      <c r="H33" s="4"/>
      <c r="I33" s="4"/>
    </row>
    <row r="34" spans="1:9" ht="14.4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2.75" customHeight="1" x14ac:dyDescent="0.3">
      <c r="A35" s="43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2:C32"/>
    <mergeCell ref="A31:C31"/>
    <mergeCell ref="A30:C30"/>
    <mergeCell ref="A28:C28"/>
    <mergeCell ref="A29:C29"/>
    <mergeCell ref="A7:C7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2025-07-10T03:58:28Z</dcterms:created>
  <dcterms:modified xsi:type="dcterms:W3CDTF">2025-07-10T04:00:47Z</dcterms:modified>
</cp:coreProperties>
</file>