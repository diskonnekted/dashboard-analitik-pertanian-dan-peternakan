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CD4020A6-2B65-4DCB-9214-D6B700F9F785}" xr6:coauthVersionLast="47" xr6:coauthVersionMax="47" xr10:uidLastSave="{00000000-0000-0000-0000-000000000000}"/>
  <bookViews>
    <workbookView xWindow="28680" yWindow="-120" windowWidth="29040" windowHeight="15720" xr2:uid="{3732769C-7F87-4410-BC68-77601E9BE2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H29" i="1"/>
  <c r="E29" i="1"/>
  <c r="D29" i="1"/>
  <c r="F29" i="1" l="1"/>
  <c r="J29" i="1"/>
</calcChain>
</file>

<file path=xl/sharedStrings.xml><?xml version="1.0" encoding="utf-8"?>
<sst xmlns="http://schemas.openxmlformats.org/spreadsheetml/2006/main" count="177" uniqueCount="70">
  <si>
    <r>
      <t>Tabel</t>
    </r>
    <r>
      <rPr>
        <b/>
        <sz val="11"/>
        <rFont val="Calibri"/>
        <family val="2"/>
      </rPr>
      <t xml:space="preserve"> : 5.1.1.</t>
    </r>
  </si>
  <si>
    <r>
      <t>Lanjutan</t>
    </r>
    <r>
      <rPr>
        <sz val="11"/>
        <rFont val="Calibri"/>
        <family val="2"/>
      </rPr>
      <t>/</t>
    </r>
    <r>
      <rPr>
        <i/>
        <sz val="11"/>
        <rFont val="Calibri"/>
        <family val="2"/>
      </rPr>
      <t>Continued</t>
    </r>
  </si>
  <si>
    <t>Tahun 2018</t>
  </si>
  <si>
    <t>Tahun 2019</t>
  </si>
  <si>
    <t>Table</t>
  </si>
  <si>
    <r>
      <t xml:space="preserve">Kecamatan
</t>
    </r>
    <r>
      <rPr>
        <i/>
        <sz val="9"/>
        <rFont val="Calibri"/>
        <family val="2"/>
      </rPr>
      <t>Subdistrict</t>
    </r>
  </si>
  <si>
    <r>
      <t xml:space="preserve">Ubi Jalar
</t>
    </r>
    <r>
      <rPr>
        <i/>
        <sz val="9"/>
        <rFont val="Calibri"/>
        <family val="2"/>
      </rPr>
      <t>Sweet Potato</t>
    </r>
  </si>
  <si>
    <r>
      <t xml:space="preserve">Kacang Hijau
</t>
    </r>
    <r>
      <rPr>
        <i/>
        <sz val="9"/>
        <rFont val="Calibri"/>
        <family val="2"/>
      </rPr>
      <t>Small Green Pea</t>
    </r>
  </si>
  <si>
    <t>Luas Panen</t>
  </si>
  <si>
    <t>Produksi</t>
  </si>
  <si>
    <t>Rata-rata Produksi</t>
  </si>
  <si>
    <t>Harvested Area</t>
  </si>
  <si>
    <t>Production</t>
  </si>
  <si>
    <t>Yield Rate</t>
  </si>
  <si>
    <t>(Ha)</t>
  </si>
  <si>
    <t>(Ton)</t>
  </si>
  <si>
    <t>(Ku/Ha)</t>
  </si>
  <si>
    <t>(1)</t>
  </si>
  <si>
    <t>(23)</t>
  </si>
  <si>
    <t>(24)</t>
  </si>
  <si>
    <t>(25)</t>
  </si>
  <si>
    <t>(26)</t>
  </si>
  <si>
    <t>(27)</t>
  </si>
  <si>
    <t>(28)</t>
  </si>
  <si>
    <t>01.</t>
  </si>
  <si>
    <t>Susukan</t>
  </si>
  <si>
    <t>-</t>
  </si>
  <si>
    <t>02.</t>
  </si>
  <si>
    <t>Purwareja Klampok</t>
  </si>
  <si>
    <t>03.</t>
  </si>
  <si>
    <t>Mandiraja</t>
  </si>
  <si>
    <t>04.</t>
  </si>
  <si>
    <t>Purwanegara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</si>
  <si>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</si>
  <si>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</si>
  <si>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</si>
  <si>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</si>
  <si>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</si>
  <si>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</si>
  <si>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</si>
  <si>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</si>
  <si>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</si>
  <si>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</si>
  <si>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</si>
  <si>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</si>
  <si>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</si>
  <si>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</si>
  <si>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</si>
  <si>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</si>
  <si>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</si>
  <si>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</si>
  <si>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</si>
  <si>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</si>
  <si>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</si>
  <si>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</si>
  <si>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</si>
  <si>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</si>
  <si>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</si>
  <si>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</si>
  <si>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</si>
  <si>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</si>
  <si>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</si>
  <si>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</si>
  <si>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</si>
  <si>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</si>
  <si>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</si>
  <si>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2017</t>
  </si>
  <si>
    <t>Tahun 2016</t>
  </si>
  <si>
    <t>Tahun 2015</t>
  </si>
  <si>
    <t xml:space="preserve">Sumber Data  :  Dinas Pertanian dan Perikanan Kab. Banjarnegara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</si>
</sst>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5" formatCode="_(* #,##0.00_);_(* \(#,##0.00\);_(* &quot;-&quot;??_);_(@_)"/>
    <numFmt numFmtId="166" formatCode="_(* #,##0_);_(* \(#,##0\);_(* \-??_);_(@_)"/>
    <numFmt numFmtId="167" formatCode="_(* #,##0.00_);_(* \(#,##0.00\);_(* \-??_);_(@_)"/>
    <numFmt numFmtId="168" formatCode="_(* #,##0.00_);_(* \(#,##0.00\);_(* \-_);_(@_)"/>
  </numFmts>
  <fonts count="16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9"/>
      <color theme="1"/>
      <name val="Calibri"/>
      <family val="2"/>
    </font>
    <font>
      <i/>
      <sz val="9"/>
      <name val="Calibri"/>
      <family val="2"/>
    </font>
    <font>
      <sz val="10"/>
      <name val="Arial"/>
      <family val="2"/>
    </font>
    <font>
      <i/>
      <sz val="9"/>
      <color theme="1"/>
      <name val="Calibri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41" fontId="8" fillId="0" borderId="0" applyFont="0" applyFill="0" applyBorder="0" applyAlignment="0" applyProtection="0"/>
    <xf numFmtId="0" fontId="8" fillId="0" borderId="0"/>
  </cellStyleXfs>
  <cellXfs count="44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4" fillId="0" borderId="0" xfId="1" applyFont="1"/>
    <xf numFmtId="0" fontId="7" fillId="0" borderId="0" xfId="1" applyFont="1"/>
    <xf numFmtId="0" fontId="4" fillId="0" borderId="0" xfId="1" applyFont="1" applyAlignment="1">
      <alignment horizontal="center"/>
    </xf>
    <xf numFmtId="0" fontId="4" fillId="0" borderId="0" xfId="1" applyFont="1" applyAlignment="1">
      <alignment horizontal="right"/>
    </xf>
    <xf numFmtId="0" fontId="1" fillId="0" borderId="0" xfId="1"/>
    <xf numFmtId="0" fontId="10" fillId="0" borderId="0" xfId="1" applyFont="1" applyAlignment="1">
      <alignment vertical="top"/>
    </xf>
    <xf numFmtId="0" fontId="11" fillId="0" borderId="1" xfId="1" applyFont="1" applyBorder="1" applyAlignment="1">
      <alignment horizontal="center" vertical="center" wrapText="1"/>
    </xf>
    <xf numFmtId="0" fontId="13" fillId="0" borderId="1" xfId="1" applyFont="1" applyBorder="1"/>
    <xf numFmtId="0" fontId="11" fillId="0" borderId="2" xfId="1" applyFont="1" applyBorder="1" applyAlignment="1">
      <alignment horizontal="center" vertical="center" wrapText="1"/>
    </xf>
    <xf numFmtId="0" fontId="13" fillId="0" borderId="2" xfId="1" applyFont="1" applyBorder="1"/>
    <xf numFmtId="0" fontId="11" fillId="0" borderId="1" xfId="1" applyFont="1" applyBorder="1" applyAlignment="1">
      <alignment horizontal="center" vertical="center" wrapText="1"/>
    </xf>
    <xf numFmtId="0" fontId="11" fillId="0" borderId="0" xfId="1" applyFont="1" applyAlignment="1">
      <alignment horizontal="center" wrapText="1"/>
    </xf>
    <xf numFmtId="0" fontId="11" fillId="0" borderId="3" xfId="1" applyFont="1" applyBorder="1" applyAlignment="1">
      <alignment horizontal="center" wrapText="1"/>
    </xf>
    <xf numFmtId="0" fontId="14" fillId="0" borderId="0" xfId="1" applyFont="1" applyAlignment="1">
      <alignment horizontal="center" vertical="top" wrapText="1"/>
    </xf>
    <xf numFmtId="0" fontId="13" fillId="0" borderId="4" xfId="1" applyFont="1" applyBorder="1"/>
    <xf numFmtId="0" fontId="11" fillId="0" borderId="0" xfId="1" applyFont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11" fillId="0" borderId="5" xfId="1" applyFont="1" applyBorder="1" applyAlignment="1">
      <alignment horizontal="center" vertical="center"/>
    </xf>
    <xf numFmtId="0" fontId="13" fillId="0" borderId="5" xfId="1" applyFont="1" applyBorder="1"/>
    <xf numFmtId="0" fontId="11" fillId="0" borderId="5" xfId="1" applyFont="1" applyBorder="1" applyAlignment="1">
      <alignment horizontal="center" vertical="center"/>
    </xf>
    <xf numFmtId="0" fontId="7" fillId="0" borderId="3" xfId="1" applyFont="1" applyBorder="1"/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horizontal="left" vertical="center"/>
    </xf>
    <xf numFmtId="165" fontId="9" fillId="0" borderId="0" xfId="1" applyNumberFormat="1" applyFont="1"/>
    <xf numFmtId="4" fontId="9" fillId="0" borderId="0" xfId="1" applyNumberFormat="1" applyFont="1"/>
    <xf numFmtId="0" fontId="9" fillId="0" borderId="0" xfId="1" applyFont="1"/>
    <xf numFmtId="4" fontId="9" fillId="0" borderId="0" xfId="1" applyNumberFormat="1" applyFont="1" applyAlignment="1">
      <alignment horizontal="right"/>
    </xf>
    <xf numFmtId="4" fontId="9" fillId="0" borderId="0" xfId="1" applyNumberFormat="1" applyFont="1" applyAlignment="1">
      <alignment horizontal="center"/>
    </xf>
    <xf numFmtId="166" fontId="7" fillId="0" borderId="5" xfId="1" applyNumberFormat="1" applyFont="1" applyBorder="1" applyAlignment="1">
      <alignment horizontal="center" vertical="center"/>
    </xf>
    <xf numFmtId="167" fontId="7" fillId="0" borderId="3" xfId="1" applyNumberFormat="1" applyFont="1" applyBorder="1" applyAlignment="1">
      <alignment horizontal="left" vertical="center"/>
    </xf>
    <xf numFmtId="168" fontId="9" fillId="0" borderId="0" xfId="1" applyNumberFormat="1" applyFont="1"/>
    <xf numFmtId="0" fontId="15" fillId="0" borderId="0" xfId="1" applyFont="1"/>
    <xf numFmtId="0" fontId="13" fillId="0" borderId="3" xfId="1" applyFont="1" applyBorder="1"/>
    <xf numFmtId="0" fontId="7" fillId="0" borderId="3" xfId="1" applyFont="1" applyBorder="1" applyAlignment="1">
      <alignment horizontal="center" vertical="center"/>
    </xf>
    <xf numFmtId="167" fontId="11" fillId="0" borderId="3" xfId="1" applyNumberFormat="1" applyFont="1" applyBorder="1" applyAlignment="1">
      <alignment horizontal="left" vertical="center"/>
    </xf>
    <xf numFmtId="168" fontId="11" fillId="0" borderId="3" xfId="1" applyNumberFormat="1" applyFont="1" applyBorder="1" applyAlignment="1">
      <alignment horizontal="left" vertical="center"/>
    </xf>
    <xf numFmtId="0" fontId="7" fillId="0" borderId="0" xfId="1" applyFont="1" applyAlignment="1">
      <alignment horizontal="center" vertical="center"/>
    </xf>
    <xf numFmtId="167" fontId="11" fillId="0" borderId="0" xfId="1" applyNumberFormat="1" applyFont="1" applyAlignment="1">
      <alignment horizontal="left" vertical="center"/>
    </xf>
    <xf numFmtId="168" fontId="11" fillId="0" borderId="0" xfId="1" applyNumberFormat="1" applyFont="1" applyAlignment="1">
      <alignment horizontal="left" vertical="center"/>
    </xf>
    <xf numFmtId="0" fontId="7" fillId="0" borderId="1" xfId="1" applyFont="1" applyBorder="1" applyAlignment="1">
      <alignment horizontal="left"/>
    </xf>
    <xf numFmtId="0" fontId="7" fillId="0" borderId="0" xfId="1" applyFont="1" applyAlignment="1">
      <alignment vertical="top"/>
    </xf>
  </cellXfs>
  <cellStyles count="4">
    <cellStyle name="Comma [0] 3" xfId="2" xr:uid="{58F76D1A-F7AD-46A5-85A8-EFD5B8873FEF}"/>
    <cellStyle name="Normal" xfId="0" builtinId="0"/>
    <cellStyle name="Normal 3 2" xfId="3" xr:uid="{9DABAEC2-B610-4BD5-B2EB-3ACAC40EB36B}"/>
    <cellStyle name="Normal 4" xfId="1" xr:uid="{20DFF9AA-0831-4AD3-BF32-C4146D3C84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C08DC-4C48-4EC5-BFE9-AFDA9E1C78DC}">
  <dimension ref="A1:J996"/>
  <sheetViews>
    <sheetView tabSelected="1" workbookViewId="0">
      <selection activeCell="M17" sqref="M17"/>
    </sheetView>
  </sheetViews>
  <sheetFormatPr defaultColWidth="14.44140625" defaultRowHeight="13.2" x14ac:dyDescent="0.25"/>
  <cols>
    <col min="1" max="1" width="3.77734375" style="7" customWidth="1"/>
    <col min="2" max="2" width="8.77734375" style="7" customWidth="1"/>
    <col min="3" max="3" width="5" style="7" customWidth="1"/>
    <col min="4" max="4" width="8.5546875" style="7" customWidth="1"/>
    <col min="5" max="5" width="9.77734375" style="7" customWidth="1"/>
    <col min="6" max="6" width="8.5546875" style="7" customWidth="1"/>
    <col min="7" max="7" width="0.77734375" style="7" customWidth="1"/>
    <col min="8" max="8" width="8.44140625" style="7" customWidth="1"/>
    <col min="9" max="9" width="9.44140625" style="7" customWidth="1"/>
    <col min="10" max="10" width="8.21875" style="7" customWidth="1"/>
    <col min="11" max="16384" width="14.44140625" style="7"/>
  </cols>
  <sheetData>
    <row r="1" spans="1:10" ht="14.4" x14ac:dyDescent="0.3">
      <c r="A1" s="1" t="s">
        <v>0</v>
      </c>
      <c r="B1" s="2"/>
      <c r="C1" s="3" t="s">
        <v>1</v>
      </c>
      <c r="D1" s="4"/>
      <c r="E1" s="5"/>
      <c r="F1" s="5"/>
      <c r="G1" s="5"/>
      <c r="H1" s="5"/>
      <c r="I1" s="5"/>
      <c r="J1" s="6" t="s">
        <v>3</v>
      </c>
    </row>
    <row r="2" spans="1:10" ht="15" thickBot="1" x14ac:dyDescent="0.35">
      <c r="A2" s="8" t="s">
        <v>4</v>
      </c>
      <c r="B2" s="5"/>
      <c r="C2" s="5"/>
      <c r="D2" s="5"/>
      <c r="E2" s="3"/>
      <c r="F2" s="3"/>
      <c r="G2" s="3"/>
      <c r="H2" s="3"/>
      <c r="I2" s="3"/>
      <c r="J2" s="3"/>
    </row>
    <row r="3" spans="1:10" ht="24.75" customHeight="1" thickTop="1" x14ac:dyDescent="0.25">
      <c r="A3" s="9" t="s">
        <v>5</v>
      </c>
      <c r="B3" s="10"/>
      <c r="C3" s="10"/>
      <c r="D3" s="11" t="s">
        <v>6</v>
      </c>
      <c r="E3" s="12"/>
      <c r="F3" s="12"/>
      <c r="G3" s="13"/>
      <c r="H3" s="11" t="s">
        <v>7</v>
      </c>
      <c r="I3" s="12"/>
      <c r="J3" s="12"/>
    </row>
    <row r="4" spans="1:10" ht="12.75" customHeight="1" x14ac:dyDescent="0.25">
      <c r="A4" s="2"/>
      <c r="B4" s="2"/>
      <c r="C4" s="2"/>
      <c r="D4" s="14" t="s">
        <v>8</v>
      </c>
      <c r="E4" s="15" t="s">
        <v>9</v>
      </c>
      <c r="F4" s="14" t="s">
        <v>10</v>
      </c>
      <c r="G4" s="14"/>
      <c r="H4" s="14" t="s">
        <v>8</v>
      </c>
      <c r="I4" s="15" t="s">
        <v>9</v>
      </c>
      <c r="J4" s="14" t="s">
        <v>10</v>
      </c>
    </row>
    <row r="5" spans="1:10" ht="16.5" customHeight="1" x14ac:dyDescent="0.25">
      <c r="A5" s="2"/>
      <c r="B5" s="2"/>
      <c r="C5" s="2"/>
      <c r="D5" s="16" t="s">
        <v>11</v>
      </c>
      <c r="E5" s="16" t="s">
        <v>12</v>
      </c>
      <c r="F5" s="16" t="s">
        <v>13</v>
      </c>
      <c r="G5" s="16"/>
      <c r="H5" s="16" t="s">
        <v>11</v>
      </c>
      <c r="I5" s="16" t="s">
        <v>12</v>
      </c>
      <c r="J5" s="16" t="s">
        <v>13</v>
      </c>
    </row>
    <row r="6" spans="1:10" ht="12.75" customHeight="1" x14ac:dyDescent="0.25">
      <c r="A6" s="17"/>
      <c r="B6" s="17"/>
      <c r="C6" s="17"/>
      <c r="D6" s="18" t="s">
        <v>14</v>
      </c>
      <c r="E6" s="18" t="s">
        <v>15</v>
      </c>
      <c r="F6" s="18" t="s">
        <v>16</v>
      </c>
      <c r="G6" s="19"/>
      <c r="H6" s="18" t="s">
        <v>14</v>
      </c>
      <c r="I6" s="18" t="s">
        <v>15</v>
      </c>
      <c r="J6" s="18" t="s">
        <v>16</v>
      </c>
    </row>
    <row r="7" spans="1:10" x14ac:dyDescent="0.25">
      <c r="A7" s="20" t="s">
        <v>17</v>
      </c>
      <c r="B7" s="21"/>
      <c r="C7" s="21"/>
      <c r="D7" s="22" t="s">
        <v>18</v>
      </c>
      <c r="E7" s="22" t="s">
        <v>19</v>
      </c>
      <c r="F7" s="22" t="s">
        <v>20</v>
      </c>
      <c r="G7" s="22"/>
      <c r="H7" s="22" t="s">
        <v>21</v>
      </c>
      <c r="I7" s="22" t="s">
        <v>22</v>
      </c>
      <c r="J7" s="22" t="s">
        <v>23</v>
      </c>
    </row>
    <row r="8" spans="1:10" ht="7.5" hidden="1" customHeight="1" x14ac:dyDescent="0.3">
      <c r="A8" s="23"/>
      <c r="B8" s="23"/>
      <c r="C8" s="23"/>
      <c r="D8" s="23"/>
      <c r="E8" s="23"/>
      <c r="F8" s="23"/>
      <c r="G8" s="23"/>
      <c r="H8" s="23"/>
      <c r="I8" s="23"/>
      <c r="J8" s="4"/>
    </row>
    <row r="9" spans="1:10" ht="14.4" x14ac:dyDescent="0.3">
      <c r="A9" s="24" t="s">
        <v>24</v>
      </c>
      <c r="B9" s="25" t="s">
        <v>25</v>
      </c>
      <c r="C9" s="25"/>
      <c r="D9" s="26" t="s">
        <v>26</v>
      </c>
      <c r="E9" s="26" t="s">
        <v>26</v>
      </c>
      <c r="F9" s="27" t="s">
        <v>26</v>
      </c>
      <c r="G9" s="28"/>
      <c r="H9" s="26" t="s">
        <v>26</v>
      </c>
      <c r="I9" s="26" t="s">
        <v>26</v>
      </c>
      <c r="J9" s="27" t="s">
        <v>26</v>
      </c>
    </row>
    <row r="10" spans="1:10" ht="14.4" x14ac:dyDescent="0.3">
      <c r="A10" s="24" t="s">
        <v>27</v>
      </c>
      <c r="B10" s="25" t="s">
        <v>28</v>
      </c>
      <c r="C10" s="25"/>
      <c r="D10" s="26" t="s">
        <v>26</v>
      </c>
      <c r="E10" s="26" t="s">
        <v>26</v>
      </c>
      <c r="F10" s="27" t="s">
        <v>26</v>
      </c>
      <c r="G10" s="28"/>
      <c r="H10" s="26">
        <v>1</v>
      </c>
      <c r="I10" s="26">
        <v>1.1499999999999999</v>
      </c>
      <c r="J10" s="26">
        <v>11.5</v>
      </c>
    </row>
    <row r="11" spans="1:10" ht="14.4" x14ac:dyDescent="0.3">
      <c r="A11" s="24" t="s">
        <v>29</v>
      </c>
      <c r="B11" s="25" t="s">
        <v>30</v>
      </c>
      <c r="C11" s="25"/>
      <c r="D11" s="26" t="s">
        <v>26</v>
      </c>
      <c r="E11" s="26" t="s">
        <v>26</v>
      </c>
      <c r="F11" s="27" t="s">
        <v>26</v>
      </c>
      <c r="G11" s="28"/>
      <c r="H11" s="26" t="s">
        <v>26</v>
      </c>
      <c r="I11" s="26" t="s">
        <v>26</v>
      </c>
      <c r="J11" s="26" t="s">
        <v>26</v>
      </c>
    </row>
    <row r="12" spans="1:10" ht="14.4" x14ac:dyDescent="0.3">
      <c r="A12" s="24" t="s">
        <v>31</v>
      </c>
      <c r="B12" s="25" t="s">
        <v>32</v>
      </c>
      <c r="C12" s="25"/>
      <c r="D12" s="26">
        <v>4</v>
      </c>
      <c r="E12" s="26">
        <v>84.8</v>
      </c>
      <c r="F12" s="29">
        <v>212</v>
      </c>
      <c r="G12" s="28"/>
      <c r="H12" s="26" t="s">
        <v>26</v>
      </c>
      <c r="I12" s="26" t="s">
        <v>26</v>
      </c>
      <c r="J12" s="27" t="s">
        <v>26</v>
      </c>
    </row>
    <row r="13" spans="1:10" ht="14.4" x14ac:dyDescent="0.3">
      <c r="A13" s="24" t="s">
        <v>33</v>
      </c>
      <c r="B13" s="25" t="s">
        <v>34</v>
      </c>
      <c r="C13" s="25"/>
      <c r="D13" s="26" t="s">
        <v>26</v>
      </c>
      <c r="E13" s="26" t="s">
        <v>26</v>
      </c>
      <c r="F13" s="27" t="s">
        <v>26</v>
      </c>
      <c r="G13" s="28"/>
      <c r="H13" s="26" t="s">
        <v>26</v>
      </c>
      <c r="I13" s="26" t="s">
        <v>26</v>
      </c>
      <c r="J13" s="26" t="s">
        <v>26</v>
      </c>
    </row>
    <row r="14" spans="1:10" ht="14.4" x14ac:dyDescent="0.3">
      <c r="A14" s="24" t="s">
        <v>35</v>
      </c>
      <c r="B14" s="25" t="s">
        <v>36</v>
      </c>
      <c r="C14" s="25"/>
      <c r="D14" s="26">
        <v>11.4</v>
      </c>
      <c r="E14" s="26">
        <v>336.3</v>
      </c>
      <c r="F14" s="30">
        <v>295</v>
      </c>
      <c r="G14" s="28"/>
      <c r="H14" s="26" t="s">
        <v>26</v>
      </c>
      <c r="I14" s="26" t="s">
        <v>26</v>
      </c>
      <c r="J14" s="26" t="s">
        <v>26</v>
      </c>
    </row>
    <row r="15" spans="1:10" ht="14.4" x14ac:dyDescent="0.3">
      <c r="A15" s="24" t="s">
        <v>37</v>
      </c>
      <c r="B15" s="25" t="s">
        <v>38</v>
      </c>
      <c r="C15" s="25"/>
      <c r="D15" s="26" t="s">
        <v>26</v>
      </c>
      <c r="E15" s="26" t="s">
        <v>26</v>
      </c>
      <c r="F15" s="27" t="s">
        <v>26</v>
      </c>
      <c r="G15" s="28"/>
      <c r="H15" s="26" t="s">
        <v>26</v>
      </c>
      <c r="I15" s="26" t="s">
        <v>26</v>
      </c>
      <c r="J15" s="26" t="s">
        <v>26</v>
      </c>
    </row>
    <row r="16" spans="1:10" ht="14.4" x14ac:dyDescent="0.3">
      <c r="A16" s="24" t="s">
        <v>39</v>
      </c>
      <c r="B16" s="25" t="s">
        <v>40</v>
      </c>
      <c r="C16" s="25"/>
      <c r="D16" s="26" t="s">
        <v>26</v>
      </c>
      <c r="E16" s="26" t="s">
        <v>26</v>
      </c>
      <c r="F16" s="27" t="s">
        <v>26</v>
      </c>
      <c r="G16" s="28"/>
      <c r="H16" s="26" t="s">
        <v>26</v>
      </c>
      <c r="I16" s="26" t="s">
        <v>26</v>
      </c>
      <c r="J16" s="26" t="s">
        <v>26</v>
      </c>
    </row>
    <row r="17" spans="1:10" ht="14.4" x14ac:dyDescent="0.3">
      <c r="A17" s="24" t="s">
        <v>41</v>
      </c>
      <c r="B17" s="25" t="s">
        <v>42</v>
      </c>
      <c r="C17" s="25"/>
      <c r="D17" s="26" t="s">
        <v>26</v>
      </c>
      <c r="E17" s="26" t="s">
        <v>26</v>
      </c>
      <c r="F17" s="27" t="s">
        <v>26</v>
      </c>
      <c r="G17" s="28"/>
      <c r="H17" s="26" t="s">
        <v>26</v>
      </c>
      <c r="I17" s="26" t="s">
        <v>26</v>
      </c>
      <c r="J17" s="26" t="s">
        <v>26</v>
      </c>
    </row>
    <row r="18" spans="1:10" ht="14.4" x14ac:dyDescent="0.3">
      <c r="A18" s="24" t="s">
        <v>43</v>
      </c>
      <c r="B18" s="25" t="s">
        <v>44</v>
      </c>
      <c r="C18" s="25"/>
      <c r="D18" s="26" t="s">
        <v>26</v>
      </c>
      <c r="E18" s="26" t="s">
        <v>26</v>
      </c>
      <c r="F18" s="27" t="s">
        <v>26</v>
      </c>
      <c r="G18" s="28"/>
      <c r="H18" s="26" t="s">
        <v>26</v>
      </c>
      <c r="I18" s="26" t="s">
        <v>26</v>
      </c>
      <c r="J18" s="26" t="s">
        <v>26</v>
      </c>
    </row>
    <row r="19" spans="1:10" ht="14.4" x14ac:dyDescent="0.3">
      <c r="A19" s="24" t="s">
        <v>45</v>
      </c>
      <c r="B19" s="25" t="s">
        <v>46</v>
      </c>
      <c r="C19" s="25"/>
      <c r="D19" s="26" t="s">
        <v>26</v>
      </c>
      <c r="E19" s="26" t="s">
        <v>26</v>
      </c>
      <c r="F19" s="27" t="s">
        <v>26</v>
      </c>
      <c r="G19" s="28"/>
      <c r="H19" s="26" t="s">
        <v>26</v>
      </c>
      <c r="I19" s="26" t="s">
        <v>26</v>
      </c>
      <c r="J19" s="26" t="s">
        <v>26</v>
      </c>
    </row>
    <row r="20" spans="1:10" ht="14.4" x14ac:dyDescent="0.3">
      <c r="A20" s="24" t="s">
        <v>47</v>
      </c>
      <c r="B20" s="25" t="s">
        <v>48</v>
      </c>
      <c r="C20" s="25"/>
      <c r="D20" s="26" t="s">
        <v>26</v>
      </c>
      <c r="E20" s="26" t="s">
        <v>26</v>
      </c>
      <c r="F20" s="27" t="s">
        <v>26</v>
      </c>
      <c r="G20" s="28"/>
      <c r="H20" s="26" t="s">
        <v>26</v>
      </c>
      <c r="I20" s="26" t="s">
        <v>26</v>
      </c>
      <c r="J20" s="26" t="s">
        <v>26</v>
      </c>
    </row>
    <row r="21" spans="1:10" ht="14.4" x14ac:dyDescent="0.3">
      <c r="A21" s="24" t="s">
        <v>49</v>
      </c>
      <c r="B21" s="25" t="s">
        <v>50</v>
      </c>
      <c r="C21" s="25"/>
      <c r="D21" s="26" t="s">
        <v>26</v>
      </c>
      <c r="E21" s="26" t="s">
        <v>26</v>
      </c>
      <c r="F21" s="27" t="s">
        <v>26</v>
      </c>
      <c r="G21" s="28"/>
      <c r="H21" s="26" t="s">
        <v>26</v>
      </c>
      <c r="I21" s="26" t="s">
        <v>26</v>
      </c>
      <c r="J21" s="26" t="s">
        <v>26</v>
      </c>
    </row>
    <row r="22" spans="1:10" ht="14.4" x14ac:dyDescent="0.3">
      <c r="A22" s="24" t="s">
        <v>51</v>
      </c>
      <c r="B22" s="25" t="s">
        <v>52</v>
      </c>
      <c r="C22" s="25"/>
      <c r="D22" s="26" t="s">
        <v>26</v>
      </c>
      <c r="E22" s="26" t="s">
        <v>26</v>
      </c>
      <c r="F22" s="27" t="s">
        <v>26</v>
      </c>
      <c r="G22" s="28"/>
      <c r="H22" s="26" t="s">
        <v>26</v>
      </c>
      <c r="I22" s="26" t="s">
        <v>26</v>
      </c>
      <c r="J22" s="26" t="s">
        <v>26</v>
      </c>
    </row>
    <row r="23" spans="1:10" ht="14.4" x14ac:dyDescent="0.3">
      <c r="A23" s="24" t="s">
        <v>53</v>
      </c>
      <c r="B23" s="25" t="s">
        <v>54</v>
      </c>
      <c r="C23" s="25"/>
      <c r="D23" s="26">
        <v>42.6</v>
      </c>
      <c r="E23" s="26">
        <v>800.88</v>
      </c>
      <c r="F23" s="29">
        <v>188</v>
      </c>
      <c r="G23" s="28"/>
      <c r="H23" s="26" t="s">
        <v>26</v>
      </c>
      <c r="I23" s="26" t="s">
        <v>26</v>
      </c>
      <c r="J23" s="26" t="s">
        <v>26</v>
      </c>
    </row>
    <row r="24" spans="1:10" ht="14.4" x14ac:dyDescent="0.3">
      <c r="A24" s="24" t="s">
        <v>55</v>
      </c>
      <c r="B24" s="25" t="s">
        <v>56</v>
      </c>
      <c r="C24" s="25"/>
      <c r="D24" s="26">
        <v>36</v>
      </c>
      <c r="E24" s="26">
        <v>766.33</v>
      </c>
      <c r="F24" s="29">
        <v>212.87</v>
      </c>
      <c r="G24" s="28"/>
      <c r="H24" s="26" t="s">
        <v>26</v>
      </c>
      <c r="I24" s="26" t="s">
        <v>26</v>
      </c>
      <c r="J24" s="26" t="s">
        <v>26</v>
      </c>
    </row>
    <row r="25" spans="1:10" ht="14.4" x14ac:dyDescent="0.3">
      <c r="A25" s="24" t="s">
        <v>57</v>
      </c>
      <c r="B25" s="25" t="s">
        <v>58</v>
      </c>
      <c r="C25" s="25"/>
      <c r="D25" s="26" t="s">
        <v>26</v>
      </c>
      <c r="E25" s="26" t="s">
        <v>26</v>
      </c>
      <c r="F25" s="27" t="s">
        <v>26</v>
      </c>
      <c r="G25" s="28"/>
      <c r="H25" s="26" t="s">
        <v>26</v>
      </c>
      <c r="I25" s="26" t="s">
        <v>26</v>
      </c>
      <c r="J25" s="26" t="s">
        <v>26</v>
      </c>
    </row>
    <row r="26" spans="1:10" ht="14.4" x14ac:dyDescent="0.3">
      <c r="A26" s="24" t="s">
        <v>59</v>
      </c>
      <c r="B26" s="25" t="s">
        <v>60</v>
      </c>
      <c r="C26" s="25"/>
      <c r="D26" s="26">
        <v>5</v>
      </c>
      <c r="E26" s="26">
        <v>94.39</v>
      </c>
      <c r="F26" s="29">
        <v>188.78</v>
      </c>
      <c r="G26" s="28"/>
      <c r="H26" s="26" t="s">
        <v>26</v>
      </c>
      <c r="I26" s="26" t="s">
        <v>26</v>
      </c>
      <c r="J26" s="26" t="s">
        <v>26</v>
      </c>
    </row>
    <row r="27" spans="1:10" ht="14.4" x14ac:dyDescent="0.3">
      <c r="A27" s="24" t="s">
        <v>61</v>
      </c>
      <c r="B27" s="25" t="s">
        <v>62</v>
      </c>
      <c r="C27" s="25"/>
      <c r="D27" s="26">
        <v>3</v>
      </c>
      <c r="E27" s="26">
        <v>56.28</v>
      </c>
      <c r="F27" s="29">
        <v>187.6</v>
      </c>
      <c r="G27" s="28"/>
      <c r="H27" s="26" t="s">
        <v>26</v>
      </c>
      <c r="I27" s="26" t="s">
        <v>26</v>
      </c>
      <c r="J27" s="26" t="s">
        <v>26</v>
      </c>
    </row>
    <row r="28" spans="1:10" ht="14.4" x14ac:dyDescent="0.3">
      <c r="A28" s="24" t="s">
        <v>63</v>
      </c>
      <c r="B28" s="25" t="s">
        <v>64</v>
      </c>
      <c r="C28" s="25"/>
      <c r="D28" s="26" t="s">
        <v>26</v>
      </c>
      <c r="E28" s="26" t="s">
        <v>26</v>
      </c>
      <c r="F28" s="27" t="s">
        <v>26</v>
      </c>
      <c r="G28" s="28"/>
      <c r="H28" s="26" t="s">
        <v>26</v>
      </c>
      <c r="I28" s="26" t="s">
        <v>26</v>
      </c>
      <c r="J28" s="26" t="s">
        <v>26</v>
      </c>
    </row>
    <row r="29" spans="1:10" s="34" customFormat="1" ht="14.4" x14ac:dyDescent="0.3">
      <c r="A29" s="31" t="s">
        <v>65</v>
      </c>
      <c r="B29" s="21"/>
      <c r="C29" s="21"/>
      <c r="D29" s="32">
        <f t="shared" ref="D29:E29" si="0">SUM(D9:D28)</f>
        <v>102</v>
      </c>
      <c r="E29" s="32">
        <f t="shared" si="0"/>
        <v>2138.98</v>
      </c>
      <c r="F29" s="33">
        <f>(E29/D29)*10</f>
        <v>209.70392156862744</v>
      </c>
      <c r="G29" s="32"/>
      <c r="H29" s="32">
        <f t="shared" ref="H29:I29" si="1">SUM(H9:H28)</f>
        <v>1</v>
      </c>
      <c r="I29" s="32">
        <f t="shared" si="1"/>
        <v>1.1499999999999999</v>
      </c>
      <c r="J29" s="33">
        <f>(I29/H29)*10</f>
        <v>11.5</v>
      </c>
    </row>
    <row r="30" spans="1:10" ht="14.4" x14ac:dyDescent="0.25">
      <c r="A30" s="36" t="s">
        <v>2</v>
      </c>
      <c r="B30" s="35"/>
      <c r="C30" s="35"/>
      <c r="D30" s="37">
        <v>102.4</v>
      </c>
      <c r="E30" s="37">
        <v>2020.0780000000002</v>
      </c>
      <c r="F30" s="38">
        <v>197.27324218750002</v>
      </c>
      <c r="G30" s="38"/>
      <c r="H30" s="37">
        <v>0</v>
      </c>
      <c r="I30" s="37">
        <v>0</v>
      </c>
      <c r="J30" s="38">
        <v>0</v>
      </c>
    </row>
    <row r="31" spans="1:10" ht="14.4" x14ac:dyDescent="0.25">
      <c r="A31" s="39" t="s">
        <v>66</v>
      </c>
      <c r="B31" s="2"/>
      <c r="C31" s="2"/>
      <c r="D31" s="40">
        <v>97.4</v>
      </c>
      <c r="E31" s="40">
        <v>1089.883915012372</v>
      </c>
      <c r="F31" s="41">
        <v>111.9</v>
      </c>
      <c r="G31" s="41"/>
      <c r="H31" s="40">
        <v>21.1</v>
      </c>
      <c r="I31" s="40">
        <v>17.791600000000003</v>
      </c>
      <c r="J31" s="41">
        <v>8.43</v>
      </c>
    </row>
    <row r="32" spans="1:10" ht="14.4" x14ac:dyDescent="0.25">
      <c r="A32" s="39" t="s">
        <v>67</v>
      </c>
      <c r="B32" s="2"/>
      <c r="C32" s="2"/>
      <c r="D32" s="41">
        <v>122.2</v>
      </c>
      <c r="E32" s="41">
        <v>1458.9190000000001</v>
      </c>
      <c r="F32" s="41">
        <v>119.3878068739771</v>
      </c>
      <c r="G32" s="41"/>
      <c r="H32" s="41">
        <v>19.100000000000001</v>
      </c>
      <c r="I32" s="41">
        <v>24.317800000000002</v>
      </c>
      <c r="J32" s="41">
        <v>12.731832460732983</v>
      </c>
    </row>
    <row r="33" spans="1:10" ht="15" thickBot="1" x14ac:dyDescent="0.3">
      <c r="A33" s="39" t="s">
        <v>68</v>
      </c>
      <c r="B33" s="2"/>
      <c r="C33" s="2"/>
      <c r="D33" s="41">
        <v>140</v>
      </c>
      <c r="E33" s="41">
        <v>1681.87</v>
      </c>
      <c r="F33" s="41">
        <v>120.13</v>
      </c>
      <c r="G33" s="41"/>
      <c r="H33" s="41">
        <v>0</v>
      </c>
      <c r="I33" s="41">
        <v>0</v>
      </c>
      <c r="J33" s="41">
        <v>0</v>
      </c>
    </row>
    <row r="34" spans="1:10" ht="15" thickTop="1" x14ac:dyDescent="0.3">
      <c r="A34" s="42" t="s">
        <v>69</v>
      </c>
      <c r="B34" s="10"/>
      <c r="C34" s="10"/>
      <c r="D34" s="10"/>
      <c r="E34" s="10"/>
      <c r="F34" s="10"/>
      <c r="G34" s="10"/>
      <c r="H34" s="10"/>
      <c r="I34" s="10"/>
      <c r="J34" s="10"/>
    </row>
    <row r="35" spans="1:10" ht="12.7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 ht="12.7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 ht="12.75" customHeight="1" x14ac:dyDescent="0.3">
      <c r="A37" s="43"/>
      <c r="B37" s="4"/>
      <c r="C37" s="4"/>
      <c r="D37" s="4"/>
      <c r="E37" s="4"/>
      <c r="F37" s="4"/>
      <c r="G37" s="4"/>
      <c r="H37" s="4"/>
      <c r="I37" s="4"/>
      <c r="J37" s="4"/>
    </row>
    <row r="38" spans="1:10" ht="12.7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 ht="12.7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 ht="12.7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 ht="12.7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 ht="12.7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 ht="12.7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0" ht="12.7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spans="1:10" ht="12.7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10" ht="12.75" customHeight="1" x14ac:dyDescent="0.25"/>
    <row r="47" spans="1:10" ht="12.75" customHeight="1" x14ac:dyDescent="0.25"/>
    <row r="48" spans="1:10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mergeCells count="11">
    <mergeCell ref="A34:J34"/>
    <mergeCell ref="A33:C33"/>
    <mergeCell ref="A32:C32"/>
    <mergeCell ref="A31:C31"/>
    <mergeCell ref="A30:C30"/>
    <mergeCell ref="A29:C29"/>
    <mergeCell ref="A7:C7"/>
    <mergeCell ref="A3:C6"/>
    <mergeCell ref="D3:F3"/>
    <mergeCell ref="H3:J3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2025-07-10T04:01:40Z</dcterms:created>
  <dcterms:modified xsi:type="dcterms:W3CDTF">2025-07-10T04:02:15Z</dcterms:modified>
</cp:coreProperties>
</file>