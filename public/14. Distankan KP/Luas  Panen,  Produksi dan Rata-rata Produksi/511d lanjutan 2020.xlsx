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A9FD129-834B-40B4-81AF-6EE26D4123B3}" xr6:coauthVersionLast="47" xr6:coauthVersionMax="47" xr10:uidLastSave="{00000000-0000-0000-0000-000000000000}"/>
  <bookViews>
    <workbookView xWindow="28680" yWindow="-120" windowWidth="29040" windowHeight="15720" xr2:uid="{CE500341-39EB-4B22-8798-F769A0DDD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E29" i="1"/>
  <c r="D29" i="1"/>
  <c r="J26" i="1"/>
  <c r="F24" i="1"/>
  <c r="F22" i="1"/>
  <c r="J21" i="1"/>
  <c r="F20" i="1"/>
  <c r="J19" i="1"/>
  <c r="F19" i="1"/>
  <c r="F17" i="1"/>
  <c r="F16" i="1"/>
  <c r="F15" i="1"/>
  <c r="F14" i="1"/>
  <c r="J13" i="1"/>
  <c r="F13" i="1"/>
  <c r="J12" i="1"/>
  <c r="F12" i="1"/>
  <c r="J11" i="1"/>
  <c r="F11" i="1"/>
  <c r="J10" i="1"/>
  <c r="F10" i="1"/>
  <c r="J9" i="1"/>
  <c r="J29" i="1" s="1"/>
  <c r="F29" i="1" l="1"/>
</calcChain>
</file>

<file path=xl/sharedStrings.xml><?xml version="1.0" encoding="utf-8"?>
<sst xmlns="http://schemas.openxmlformats.org/spreadsheetml/2006/main" count="78" uniqueCount="69">
  <si>
    <t>Tahun 2018</t>
  </si>
  <si>
    <t>Tahun 2019</t>
  </si>
  <si>
    <t>Tabel : 5.1.1.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</si>
  <si>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</si>
  <si>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</si>
  <si>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Table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</si>
  <si>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</si>
  <si>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t xml:space="preserve">Kacang Tanah                                    </t>
    </r>
    <r>
      <rPr>
        <i/>
        <sz val="11"/>
        <color theme="1"/>
        <rFont val="Calibri"/>
        <family val="2"/>
      </rPr>
      <t>Peanut</t>
    </r>
  </si>
  <si>
    <r>
      <t xml:space="preserve">Kedelai                                            </t>
    </r>
    <r>
      <rPr>
        <i/>
        <sz val="11"/>
        <color theme="1"/>
        <rFont val="Calibri"/>
        <family val="2"/>
      </rPr>
      <t>Soybean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</si>
  <si>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</si>
  <si>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</si>
  <si>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</si>
  <si>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</si>
  <si>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</si>
  <si>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</si>
  <si>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</si>
  <si>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</si>
  <si>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</si>
  <si>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</si>
  <si>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(17)</t>
  </si>
  <si>
    <t>(18)</t>
  </si>
  <si>
    <t>(19)</t>
  </si>
  <si>
    <t>(20)</t>
  </si>
  <si>
    <t>(21)</t>
  </si>
  <si>
    <t>(22)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</si>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</sst>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39">
    <xf numFmtId="0" fontId="0" fillId="0" borderId="0" xfId="0"/>
    <xf numFmtId="0" fontId="6" fillId="0" borderId="0" xfId="1" applyFont="1"/>
    <xf numFmtId="0" fontId="1" fillId="0" borderId="0" xfId="1"/>
    <xf numFmtId="164" fontId="2" fillId="0" borderId="0" xfId="2" applyNumberFormat="1" applyFont="1" applyAlignment="1">
      <alignment horizontal="left" shrinkToFit="1"/>
    </xf>
    <xf numFmtId="164" fontId="8" fillId="0" borderId="0" xfId="2" applyNumberFormat="1" applyFont="1" applyAlignment="1"/>
    <xf numFmtId="164" fontId="4" fillId="0" borderId="0" xfId="2" applyNumberFormat="1" applyFont="1"/>
    <xf numFmtId="164" fontId="6" fillId="0" borderId="0" xfId="2" applyNumberFormat="1" applyFont="1"/>
    <xf numFmtId="164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right"/>
    </xf>
    <xf numFmtId="164" fontId="8" fillId="0" borderId="0" xfId="2" applyNumberFormat="1" applyFont="1" applyAlignment="1"/>
    <xf numFmtId="164" fontId="9" fillId="0" borderId="0" xfId="2" applyNumberFormat="1" applyFont="1" applyAlignment="1">
      <alignment vertical="top"/>
    </xf>
    <xf numFmtId="164" fontId="6" fillId="0" borderId="1" xfId="2" applyNumberFormat="1" applyFont="1" applyBorder="1" applyAlignment="1">
      <alignment horizontal="center" vertical="center" wrapText="1"/>
    </xf>
    <xf numFmtId="164" fontId="5" fillId="0" borderId="1" xfId="2" applyNumberFormat="1" applyFont="1" applyBorder="1"/>
    <xf numFmtId="164" fontId="6" fillId="0" borderId="2" xfId="2" applyNumberFormat="1" applyFont="1" applyBorder="1" applyAlignment="1">
      <alignment horizontal="center" vertical="center" wrapText="1"/>
    </xf>
    <xf numFmtId="164" fontId="5" fillId="0" borderId="2" xfId="2" applyNumberFormat="1" applyFont="1" applyBorder="1"/>
    <xf numFmtId="164" fontId="6" fillId="0" borderId="1" xfId="2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 wrapText="1"/>
    </xf>
    <xf numFmtId="164" fontId="6" fillId="0" borderId="3" xfId="2" applyNumberFormat="1" applyFont="1" applyBorder="1" applyAlignment="1">
      <alignment horizontal="center" wrapText="1"/>
    </xf>
    <xf numFmtId="164" fontId="9" fillId="0" borderId="0" xfId="2" applyNumberFormat="1" applyFont="1" applyAlignment="1">
      <alignment horizontal="center" vertical="center" wrapText="1"/>
    </xf>
    <xf numFmtId="164" fontId="9" fillId="0" borderId="0" xfId="2" applyNumberFormat="1" applyFont="1" applyAlignment="1">
      <alignment horizontal="center" vertical="center"/>
    </xf>
    <xf numFmtId="164" fontId="5" fillId="0" borderId="4" xfId="2" applyNumberFormat="1" applyFont="1" applyBorder="1"/>
    <xf numFmtId="164" fontId="6" fillId="0" borderId="0" xfId="2" applyNumberFormat="1" applyFont="1" applyAlignment="1">
      <alignment horizontal="center" vertical="center" wrapText="1"/>
    </xf>
    <xf numFmtId="164" fontId="6" fillId="0" borderId="5" xfId="2" applyNumberFormat="1" applyFont="1" applyBorder="1" applyAlignment="1">
      <alignment horizontal="center" vertical="center"/>
    </xf>
    <xf numFmtId="164" fontId="5" fillId="0" borderId="5" xfId="2" applyNumberFormat="1" applyFont="1" applyBorder="1"/>
    <xf numFmtId="164" fontId="6" fillId="0" borderId="5" xfId="2" applyNumberFormat="1" applyFont="1" applyBorder="1" applyAlignment="1">
      <alignment horizontal="center" vertical="center"/>
    </xf>
    <xf numFmtId="164" fontId="6" fillId="0" borderId="3" xfId="2" applyNumberFormat="1" applyFont="1" applyBorder="1"/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left" vertical="center"/>
    </xf>
    <xf numFmtId="164" fontId="8" fillId="0" borderId="0" xfId="2" applyNumberFormat="1" applyFont="1" applyAlignment="1">
      <alignment horizontal="right"/>
    </xf>
    <xf numFmtId="164" fontId="8" fillId="0" borderId="0" xfId="2" applyNumberFormat="1" applyFont="1" applyAlignment="1">
      <alignment horizontal="center"/>
    </xf>
    <xf numFmtId="164" fontId="4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164" fontId="6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/>
    <xf numFmtId="164" fontId="6" fillId="0" borderId="3" xfId="2" applyNumberFormat="1" applyFont="1" applyBorder="1" applyAlignment="1">
      <alignment horizontal="left" vertical="center"/>
    </xf>
    <xf numFmtId="164" fontId="6" fillId="0" borderId="0" xfId="2" applyNumberFormat="1" applyFont="1" applyAlignment="1">
      <alignment horizontal="center" vertical="center"/>
    </xf>
    <xf numFmtId="164" fontId="6" fillId="0" borderId="1" xfId="2" applyNumberFormat="1" applyFont="1" applyBorder="1" applyAlignment="1">
      <alignment horizontal="left"/>
    </xf>
    <xf numFmtId="0" fontId="6" fillId="0" borderId="0" xfId="1" applyFont="1" applyAlignment="1">
      <alignment vertical="top"/>
    </xf>
  </cellXfs>
  <cellStyles count="3">
    <cellStyle name="Comma [0] 3" xfId="2" xr:uid="{F153532C-908D-4A68-A91D-BDE1869740AA}"/>
    <cellStyle name="Normal" xfId="0" builtinId="0"/>
    <cellStyle name="Normal 4" xfId="1" xr:uid="{2199B92D-45F9-4971-B909-360FB1520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7BDB-B56A-40CA-ADD2-BCA39B58957A}">
  <dimension ref="A1:J996"/>
  <sheetViews>
    <sheetView tabSelected="1" workbookViewId="0">
      <selection activeCell="J12" sqref="J12"/>
    </sheetView>
  </sheetViews>
  <sheetFormatPr defaultColWidth="14.44140625" defaultRowHeight="13.2" x14ac:dyDescent="0.25"/>
  <cols>
    <col min="1" max="1" width="3.77734375" style="2" customWidth="1"/>
    <col min="2" max="2" width="8.77734375" style="2" customWidth="1"/>
    <col min="3" max="3" width="4.77734375" style="2" customWidth="1"/>
    <col min="4" max="4" width="9.77734375" style="2" customWidth="1"/>
    <col min="5" max="5" width="11" style="2" customWidth="1"/>
    <col min="6" max="6" width="9.77734375" style="2" customWidth="1"/>
    <col min="7" max="7" width="0.77734375" style="2" hidden="1" customWidth="1"/>
    <col min="8" max="8" width="9.77734375" style="2" customWidth="1"/>
    <col min="9" max="9" width="10.5546875" style="2" customWidth="1"/>
    <col min="10" max="10" width="9.77734375" style="2" customWidth="1"/>
    <col min="11" max="16384" width="14.44140625" style="2"/>
  </cols>
  <sheetData>
    <row r="1" spans="1:10" ht="14.4" x14ac:dyDescent="0.3">
      <c r="A1" s="3" t="s">
        <v>2</v>
      </c>
      <c r="B1" s="4"/>
      <c r="C1" s="5" t="s">
        <v>3</v>
      </c>
      <c r="D1" s="6"/>
      <c r="E1" s="7"/>
      <c r="F1" s="7"/>
      <c r="G1" s="7"/>
      <c r="H1" s="7"/>
      <c r="I1" s="7"/>
      <c r="J1" s="8" t="s">
        <v>4</v>
      </c>
    </row>
    <row r="2" spans="1:10" ht="15" thickBot="1" x14ac:dyDescent="0.35">
      <c r="A2" s="10" t="s">
        <v>5</v>
      </c>
      <c r="B2" s="7"/>
      <c r="C2" s="7"/>
      <c r="D2" s="7"/>
      <c r="E2" s="5"/>
      <c r="F2" s="5"/>
      <c r="G2" s="5"/>
      <c r="H2" s="5"/>
      <c r="I2" s="5"/>
      <c r="J2" s="5"/>
    </row>
    <row r="3" spans="1:10" ht="27.75" customHeight="1" thickTop="1" x14ac:dyDescent="0.3">
      <c r="A3" s="11" t="s">
        <v>6</v>
      </c>
      <c r="B3" s="12"/>
      <c r="C3" s="12"/>
      <c r="D3" s="13" t="s">
        <v>7</v>
      </c>
      <c r="E3" s="14"/>
      <c r="F3" s="14"/>
      <c r="G3" s="15"/>
      <c r="H3" s="13" t="s">
        <v>8</v>
      </c>
      <c r="I3" s="14"/>
      <c r="J3" s="14"/>
    </row>
    <row r="4" spans="1:10" ht="12.75" customHeight="1" x14ac:dyDescent="0.3">
      <c r="A4" s="4"/>
      <c r="B4" s="4"/>
      <c r="C4" s="4"/>
      <c r="D4" s="16" t="s">
        <v>9</v>
      </c>
      <c r="E4" s="17" t="s">
        <v>10</v>
      </c>
      <c r="F4" s="16" t="s">
        <v>11</v>
      </c>
      <c r="G4" s="16"/>
      <c r="H4" s="16" t="s">
        <v>9</v>
      </c>
      <c r="I4" s="17" t="s">
        <v>10</v>
      </c>
      <c r="J4" s="16" t="s">
        <v>11</v>
      </c>
    </row>
    <row r="5" spans="1:10" ht="43.2" x14ac:dyDescent="0.25">
      <c r="A5" s="4"/>
      <c r="B5" s="4"/>
      <c r="C5" s="4"/>
      <c r="D5" s="18" t="s">
        <v>12</v>
      </c>
      <c r="E5" s="18" t="s">
        <v>13</v>
      </c>
      <c r="F5" s="18" t="s">
        <v>14</v>
      </c>
      <c r="G5" s="18"/>
      <c r="H5" s="18" t="s">
        <v>12</v>
      </c>
      <c r="I5" s="19" t="s">
        <v>13</v>
      </c>
      <c r="J5" s="18" t="s">
        <v>14</v>
      </c>
    </row>
    <row r="6" spans="1:10" ht="14.4" x14ac:dyDescent="0.25">
      <c r="A6" s="20"/>
      <c r="B6" s="20"/>
      <c r="C6" s="20"/>
      <c r="D6" s="21" t="s">
        <v>15</v>
      </c>
      <c r="E6" s="21" t="s">
        <v>16</v>
      </c>
      <c r="F6" s="21" t="s">
        <v>17</v>
      </c>
      <c r="G6" s="21"/>
      <c r="H6" s="21" t="s">
        <v>15</v>
      </c>
      <c r="I6" s="21" t="s">
        <v>16</v>
      </c>
      <c r="J6" s="21" t="s">
        <v>17</v>
      </c>
    </row>
    <row r="7" spans="1:10" ht="14.4" x14ac:dyDescent="0.3">
      <c r="A7" s="22" t="s">
        <v>18</v>
      </c>
      <c r="B7" s="23"/>
      <c r="C7" s="23"/>
      <c r="D7" s="24" t="s">
        <v>19</v>
      </c>
      <c r="E7" s="24" t="s">
        <v>20</v>
      </c>
      <c r="F7" s="24" t="s">
        <v>21</v>
      </c>
      <c r="G7" s="24"/>
      <c r="H7" s="24" t="s">
        <v>22</v>
      </c>
      <c r="I7" s="24" t="s">
        <v>23</v>
      </c>
      <c r="J7" s="24" t="s">
        <v>24</v>
      </c>
    </row>
    <row r="8" spans="1:10" ht="7.5" hidden="1" customHeight="1" x14ac:dyDescent="0.3">
      <c r="A8" s="6"/>
      <c r="B8" s="6"/>
      <c r="C8" s="25"/>
      <c r="D8" s="25"/>
      <c r="E8" s="6"/>
      <c r="F8" s="6"/>
      <c r="G8" s="6"/>
      <c r="H8" s="6"/>
      <c r="I8" s="6"/>
      <c r="J8" s="6"/>
    </row>
    <row r="9" spans="1:10" ht="14.4" x14ac:dyDescent="0.3">
      <c r="A9" s="26" t="s">
        <v>25</v>
      </c>
      <c r="B9" s="27" t="s">
        <v>26</v>
      </c>
      <c r="C9" s="27"/>
      <c r="D9" s="28">
        <v>0</v>
      </c>
      <c r="E9" s="28">
        <v>0</v>
      </c>
      <c r="F9" s="28">
        <v>0</v>
      </c>
      <c r="G9" s="6"/>
      <c r="H9" s="9">
        <v>205</v>
      </c>
      <c r="I9" s="9">
        <v>328</v>
      </c>
      <c r="J9" s="28">
        <f t="shared" ref="J9:J13" si="0">I9/H9*10</f>
        <v>16</v>
      </c>
    </row>
    <row r="10" spans="1:10" ht="14.4" x14ac:dyDescent="0.3">
      <c r="A10" s="26" t="s">
        <v>27</v>
      </c>
      <c r="B10" s="27" t="s">
        <v>28</v>
      </c>
      <c r="C10" s="27"/>
      <c r="D10" s="28">
        <v>9</v>
      </c>
      <c r="E10" s="28">
        <v>35</v>
      </c>
      <c r="F10" s="28">
        <f t="shared" ref="F10:F17" si="1">E10/D10*10</f>
        <v>38.888888888888886</v>
      </c>
      <c r="G10" s="6"/>
      <c r="H10" s="9">
        <v>159</v>
      </c>
      <c r="I10" s="9">
        <v>222.6</v>
      </c>
      <c r="J10" s="28">
        <f t="shared" si="0"/>
        <v>14</v>
      </c>
    </row>
    <row r="11" spans="1:10" ht="14.4" x14ac:dyDescent="0.3">
      <c r="A11" s="26" t="s">
        <v>29</v>
      </c>
      <c r="B11" s="27" t="s">
        <v>30</v>
      </c>
      <c r="C11" s="27"/>
      <c r="D11" s="28">
        <v>38</v>
      </c>
      <c r="E11" s="28">
        <v>141</v>
      </c>
      <c r="F11" s="28">
        <f t="shared" si="1"/>
        <v>37.10526315789474</v>
      </c>
      <c r="G11" s="6"/>
      <c r="H11" s="9">
        <v>130</v>
      </c>
      <c r="I11" s="9">
        <v>182</v>
      </c>
      <c r="J11" s="28">
        <f t="shared" si="0"/>
        <v>14</v>
      </c>
    </row>
    <row r="12" spans="1:10" ht="14.4" x14ac:dyDescent="0.3">
      <c r="A12" s="26" t="s">
        <v>31</v>
      </c>
      <c r="B12" s="27" t="s">
        <v>32</v>
      </c>
      <c r="C12" s="27"/>
      <c r="D12" s="28">
        <v>2222</v>
      </c>
      <c r="E12" s="28">
        <v>8444</v>
      </c>
      <c r="F12" s="28">
        <f t="shared" si="1"/>
        <v>38.001800180018002</v>
      </c>
      <c r="G12" s="6"/>
      <c r="H12" s="9">
        <v>38</v>
      </c>
      <c r="I12" s="9">
        <v>53.2</v>
      </c>
      <c r="J12" s="28">
        <f t="shared" si="0"/>
        <v>14.000000000000002</v>
      </c>
    </row>
    <row r="13" spans="1:10" ht="14.4" x14ac:dyDescent="0.3">
      <c r="A13" s="26" t="s">
        <v>33</v>
      </c>
      <c r="B13" s="27" t="s">
        <v>34</v>
      </c>
      <c r="C13" s="27"/>
      <c r="D13" s="28">
        <v>83</v>
      </c>
      <c r="E13" s="28">
        <v>324</v>
      </c>
      <c r="F13" s="28">
        <f t="shared" si="1"/>
        <v>39.036144578313255</v>
      </c>
      <c r="G13" s="6"/>
      <c r="H13" s="9">
        <v>21</v>
      </c>
      <c r="I13" s="9">
        <v>29.4</v>
      </c>
      <c r="J13" s="28">
        <f t="shared" si="0"/>
        <v>14</v>
      </c>
    </row>
    <row r="14" spans="1:10" ht="14.4" x14ac:dyDescent="0.3">
      <c r="A14" s="26" t="s">
        <v>35</v>
      </c>
      <c r="B14" s="27" t="s">
        <v>36</v>
      </c>
      <c r="C14" s="27"/>
      <c r="D14" s="28">
        <v>32</v>
      </c>
      <c r="E14" s="28">
        <v>118</v>
      </c>
      <c r="F14" s="28">
        <f t="shared" si="1"/>
        <v>36.875</v>
      </c>
      <c r="G14" s="6"/>
      <c r="H14" s="9">
        <v>0</v>
      </c>
      <c r="I14" s="9">
        <v>0</v>
      </c>
      <c r="J14" s="9">
        <v>0</v>
      </c>
    </row>
    <row r="15" spans="1:10" ht="14.4" x14ac:dyDescent="0.3">
      <c r="A15" s="26" t="s">
        <v>37</v>
      </c>
      <c r="B15" s="27" t="s">
        <v>38</v>
      </c>
      <c r="C15" s="27"/>
      <c r="D15" s="28">
        <v>4</v>
      </c>
      <c r="E15" s="28">
        <v>16</v>
      </c>
      <c r="F15" s="28">
        <f t="shared" si="1"/>
        <v>40</v>
      </c>
      <c r="G15" s="6"/>
      <c r="H15" s="9">
        <v>0</v>
      </c>
      <c r="I15" s="9">
        <v>0</v>
      </c>
      <c r="J15" s="9">
        <v>0</v>
      </c>
    </row>
    <row r="16" spans="1:10" ht="14.4" x14ac:dyDescent="0.3">
      <c r="A16" s="26" t="s">
        <v>39</v>
      </c>
      <c r="B16" s="27" t="s">
        <v>40</v>
      </c>
      <c r="C16" s="27"/>
      <c r="D16" s="28">
        <v>2</v>
      </c>
      <c r="E16" s="28">
        <v>7</v>
      </c>
      <c r="F16" s="28">
        <f t="shared" si="1"/>
        <v>35</v>
      </c>
      <c r="G16" s="6"/>
      <c r="H16" s="9">
        <v>0</v>
      </c>
      <c r="I16" s="9">
        <v>0</v>
      </c>
      <c r="J16" s="9">
        <v>0</v>
      </c>
    </row>
    <row r="17" spans="1:10" ht="14.4" x14ac:dyDescent="0.3">
      <c r="A17" s="26" t="s">
        <v>41</v>
      </c>
      <c r="B17" s="27" t="s">
        <v>42</v>
      </c>
      <c r="C17" s="27"/>
      <c r="D17" s="28">
        <v>54</v>
      </c>
      <c r="E17" s="28">
        <v>211</v>
      </c>
      <c r="F17" s="28">
        <f t="shared" si="1"/>
        <v>39.074074074074076</v>
      </c>
      <c r="G17" s="6"/>
      <c r="H17" s="9">
        <v>0</v>
      </c>
      <c r="I17" s="9">
        <v>0</v>
      </c>
      <c r="J17" s="9">
        <v>0</v>
      </c>
    </row>
    <row r="18" spans="1:10" ht="14.4" x14ac:dyDescent="0.3">
      <c r="A18" s="26" t="s">
        <v>43</v>
      </c>
      <c r="B18" s="27" t="s">
        <v>44</v>
      </c>
      <c r="C18" s="27"/>
      <c r="D18" s="29">
        <v>0</v>
      </c>
      <c r="E18" s="29">
        <v>0</v>
      </c>
      <c r="F18" s="29">
        <v>0</v>
      </c>
      <c r="G18" s="6"/>
      <c r="H18" s="9">
        <v>0</v>
      </c>
      <c r="I18" s="9">
        <v>0</v>
      </c>
      <c r="J18" s="9">
        <v>0</v>
      </c>
    </row>
    <row r="19" spans="1:10" ht="14.4" x14ac:dyDescent="0.3">
      <c r="A19" s="26" t="s">
        <v>45</v>
      </c>
      <c r="B19" s="27" t="s">
        <v>46</v>
      </c>
      <c r="C19" s="27"/>
      <c r="D19" s="28">
        <v>1</v>
      </c>
      <c r="E19" s="28">
        <v>4</v>
      </c>
      <c r="F19" s="28">
        <f t="shared" ref="F19:F20" si="2">E19/D19*10</f>
        <v>40</v>
      </c>
      <c r="G19" s="6"/>
      <c r="H19" s="9">
        <v>3</v>
      </c>
      <c r="I19" s="9">
        <v>3.9</v>
      </c>
      <c r="J19" s="28">
        <f>I19/H19*10</f>
        <v>13</v>
      </c>
    </row>
    <row r="20" spans="1:10" ht="14.4" x14ac:dyDescent="0.3">
      <c r="A20" s="26" t="s">
        <v>47</v>
      </c>
      <c r="B20" s="27" t="s">
        <v>48</v>
      </c>
      <c r="C20" s="27"/>
      <c r="D20" s="28">
        <v>132</v>
      </c>
      <c r="E20" s="28">
        <v>544</v>
      </c>
      <c r="F20" s="28">
        <f t="shared" si="2"/>
        <v>41.212121212121211</v>
      </c>
      <c r="G20" s="6"/>
      <c r="H20" s="9">
        <v>0</v>
      </c>
      <c r="I20" s="9">
        <v>0</v>
      </c>
      <c r="J20" s="9">
        <v>0</v>
      </c>
    </row>
    <row r="21" spans="1:10" ht="14.4" x14ac:dyDescent="0.3">
      <c r="A21" s="26" t="s">
        <v>49</v>
      </c>
      <c r="B21" s="27" t="s">
        <v>50</v>
      </c>
      <c r="C21" s="27"/>
      <c r="D21" s="29">
        <v>0</v>
      </c>
      <c r="E21" s="29">
        <v>0</v>
      </c>
      <c r="F21" s="29">
        <v>0</v>
      </c>
      <c r="G21" s="6"/>
      <c r="H21" s="9">
        <v>1</v>
      </c>
      <c r="I21" s="9">
        <v>1.3</v>
      </c>
      <c r="J21" s="28">
        <f>I21/H21*10</f>
        <v>13</v>
      </c>
    </row>
    <row r="22" spans="1:10" ht="14.4" x14ac:dyDescent="0.3">
      <c r="A22" s="26" t="s">
        <v>51</v>
      </c>
      <c r="B22" s="27" t="s">
        <v>52</v>
      </c>
      <c r="C22" s="27"/>
      <c r="D22" s="28">
        <v>7</v>
      </c>
      <c r="E22" s="28">
        <v>27</v>
      </c>
      <c r="F22" s="28">
        <f>E22/D22*10</f>
        <v>38.571428571428569</v>
      </c>
      <c r="G22" s="6"/>
      <c r="H22" s="9">
        <v>0</v>
      </c>
      <c r="I22" s="9">
        <v>0</v>
      </c>
      <c r="J22" s="9">
        <v>0</v>
      </c>
    </row>
    <row r="23" spans="1:10" ht="14.4" x14ac:dyDescent="0.3">
      <c r="A23" s="26" t="s">
        <v>53</v>
      </c>
      <c r="B23" s="27" t="s">
        <v>54</v>
      </c>
      <c r="C23" s="27"/>
      <c r="D23" s="29">
        <v>0</v>
      </c>
      <c r="E23" s="29">
        <v>0</v>
      </c>
      <c r="F23" s="29">
        <v>0</v>
      </c>
      <c r="G23" s="6"/>
      <c r="H23" s="9">
        <v>0</v>
      </c>
      <c r="I23" s="9">
        <v>0</v>
      </c>
      <c r="J23" s="9">
        <v>0</v>
      </c>
    </row>
    <row r="24" spans="1:10" ht="14.4" x14ac:dyDescent="0.3">
      <c r="A24" s="26" t="s">
        <v>55</v>
      </c>
      <c r="B24" s="27" t="s">
        <v>56</v>
      </c>
      <c r="C24" s="27"/>
      <c r="D24" s="28">
        <v>5</v>
      </c>
      <c r="E24" s="28">
        <v>19</v>
      </c>
      <c r="F24" s="28">
        <f>E24/D24*10</f>
        <v>38</v>
      </c>
      <c r="G24" s="6"/>
      <c r="H24" s="9">
        <v>0</v>
      </c>
      <c r="I24" s="9">
        <v>0</v>
      </c>
      <c r="J24" s="9">
        <v>0</v>
      </c>
    </row>
    <row r="25" spans="1:10" ht="14.4" x14ac:dyDescent="0.3">
      <c r="A25" s="26" t="s">
        <v>57</v>
      </c>
      <c r="B25" s="27" t="s">
        <v>58</v>
      </c>
      <c r="C25" s="27"/>
      <c r="D25" s="29">
        <v>0</v>
      </c>
      <c r="E25" s="29">
        <v>0</v>
      </c>
      <c r="F25" s="29">
        <v>0</v>
      </c>
      <c r="G25" s="6"/>
      <c r="H25" s="9">
        <v>0</v>
      </c>
      <c r="I25" s="9">
        <v>0</v>
      </c>
      <c r="J25" s="9">
        <v>0</v>
      </c>
    </row>
    <row r="26" spans="1:10" ht="14.4" x14ac:dyDescent="0.3">
      <c r="A26" s="26" t="s">
        <v>59</v>
      </c>
      <c r="B26" s="27" t="s">
        <v>60</v>
      </c>
      <c r="C26" s="27"/>
      <c r="D26" s="29">
        <v>0</v>
      </c>
      <c r="E26" s="29">
        <v>0</v>
      </c>
      <c r="F26" s="29">
        <v>0</v>
      </c>
      <c r="G26" s="6"/>
      <c r="H26" s="9">
        <v>15</v>
      </c>
      <c r="I26" s="9">
        <v>18</v>
      </c>
      <c r="J26" s="28">
        <f>I26/H26*10</f>
        <v>12</v>
      </c>
    </row>
    <row r="27" spans="1:10" ht="14.4" x14ac:dyDescent="0.3">
      <c r="A27" s="26" t="s">
        <v>61</v>
      </c>
      <c r="B27" s="27" t="s">
        <v>62</v>
      </c>
      <c r="C27" s="27"/>
      <c r="D27" s="29">
        <v>0</v>
      </c>
      <c r="E27" s="29">
        <v>0</v>
      </c>
      <c r="F27" s="29">
        <v>0</v>
      </c>
      <c r="G27" s="6"/>
      <c r="H27" s="9">
        <v>0</v>
      </c>
      <c r="I27" s="9">
        <v>0</v>
      </c>
      <c r="J27" s="9">
        <v>0</v>
      </c>
    </row>
    <row r="28" spans="1:10" ht="14.4" x14ac:dyDescent="0.3">
      <c r="A28" s="26" t="s">
        <v>63</v>
      </c>
      <c r="B28" s="27" t="s">
        <v>64</v>
      </c>
      <c r="C28" s="27"/>
      <c r="D28" s="28">
        <v>0</v>
      </c>
      <c r="E28" s="28">
        <v>0</v>
      </c>
      <c r="F28" s="29">
        <v>0</v>
      </c>
      <c r="G28" s="6"/>
      <c r="H28" s="9">
        <v>0</v>
      </c>
      <c r="I28" s="9">
        <v>0</v>
      </c>
      <c r="J28" s="9">
        <v>0</v>
      </c>
    </row>
    <row r="29" spans="1:10" ht="14.4" x14ac:dyDescent="0.3">
      <c r="A29" s="30" t="s">
        <v>65</v>
      </c>
      <c r="B29" s="31"/>
      <c r="C29" s="31"/>
      <c r="D29" s="32">
        <f t="shared" ref="D29:I29" si="3">SUM(D9:D28)</f>
        <v>2589</v>
      </c>
      <c r="E29" s="32">
        <f t="shared" si="3"/>
        <v>9890</v>
      </c>
      <c r="F29" s="32">
        <f>SUM(F9:F28)/12</f>
        <v>38.480393388561559</v>
      </c>
      <c r="G29" s="32">
        <f t="shared" si="3"/>
        <v>0</v>
      </c>
      <c r="H29" s="32">
        <f t="shared" si="3"/>
        <v>572</v>
      </c>
      <c r="I29" s="32">
        <f t="shared" si="3"/>
        <v>838.4</v>
      </c>
      <c r="J29" s="32">
        <f>SUM(J9:J28)/8</f>
        <v>13.75</v>
      </c>
    </row>
    <row r="30" spans="1:10" ht="14.4" x14ac:dyDescent="0.3">
      <c r="A30" s="33" t="s">
        <v>1</v>
      </c>
      <c r="B30" s="34"/>
      <c r="C30" s="34"/>
      <c r="D30" s="35">
        <v>534.1</v>
      </c>
      <c r="E30" s="35">
        <v>582.55999999999995</v>
      </c>
      <c r="F30" s="35">
        <v>10.907320726455699</v>
      </c>
      <c r="G30" s="35"/>
      <c r="H30" s="35">
        <v>589.1</v>
      </c>
      <c r="I30" s="35">
        <v>661.44</v>
      </c>
      <c r="J30" s="35">
        <v>11.227974876930899</v>
      </c>
    </row>
    <row r="31" spans="1:10" ht="14.4" x14ac:dyDescent="0.3">
      <c r="A31" s="36" t="s">
        <v>0</v>
      </c>
      <c r="B31" s="4"/>
      <c r="C31" s="4"/>
      <c r="D31" s="27">
        <v>1313.8</v>
      </c>
      <c r="E31" s="27">
        <v>1287.4422</v>
      </c>
      <c r="F31" s="27">
        <v>9.7993773785964304</v>
      </c>
      <c r="G31" s="27"/>
      <c r="H31" s="27">
        <v>2265.6</v>
      </c>
      <c r="I31" s="27">
        <v>2958.1709999999998</v>
      </c>
      <c r="J31" s="27">
        <v>13.0568988347458</v>
      </c>
    </row>
    <row r="32" spans="1:10" ht="14.4" x14ac:dyDescent="0.3">
      <c r="A32" s="36" t="s">
        <v>66</v>
      </c>
      <c r="B32" s="4"/>
      <c r="C32" s="4"/>
      <c r="D32" s="27">
        <v>666.5</v>
      </c>
      <c r="E32" s="27">
        <v>619.31415224026603</v>
      </c>
      <c r="F32" s="27">
        <v>9.2899999999999991</v>
      </c>
      <c r="G32" s="27"/>
      <c r="H32" s="27">
        <v>55.5</v>
      </c>
      <c r="I32" s="27">
        <v>65.697199999999995</v>
      </c>
      <c r="J32" s="27">
        <v>11.84</v>
      </c>
    </row>
    <row r="33" spans="1:10" ht="15" thickBot="1" x14ac:dyDescent="0.35">
      <c r="A33" s="36" t="s">
        <v>67</v>
      </c>
      <c r="B33" s="4"/>
      <c r="C33" s="4"/>
      <c r="D33" s="27">
        <v>1330.2</v>
      </c>
      <c r="E33" s="27">
        <v>1218.0056261802999</v>
      </c>
      <c r="F33" s="27">
        <v>9.1565601126168996</v>
      </c>
      <c r="G33" s="27"/>
      <c r="H33" s="27">
        <v>92.9</v>
      </c>
      <c r="I33" s="27">
        <v>110.00077013566001</v>
      </c>
      <c r="J33" s="27">
        <v>11.840771812234699</v>
      </c>
    </row>
    <row r="34" spans="1:10" ht="15" thickTop="1" x14ac:dyDescent="0.3">
      <c r="A34" s="37" t="s">
        <v>68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2.75" customHeight="1" x14ac:dyDescent="0.3">
      <c r="A37" s="38"/>
      <c r="B37" s="1"/>
      <c r="C37" s="1"/>
      <c r="D37" s="1"/>
      <c r="E37" s="1"/>
      <c r="F37" s="1"/>
      <c r="G37" s="1"/>
      <c r="H37" s="1"/>
      <c r="I37" s="1"/>
      <c r="J37" s="1"/>
    </row>
    <row r="38" spans="1:10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4:J34"/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2025-07-10T03:58:30Z</dcterms:created>
  <dcterms:modified xsi:type="dcterms:W3CDTF">2025-07-10T03:59:43Z</dcterms:modified>
</cp:coreProperties>
</file>