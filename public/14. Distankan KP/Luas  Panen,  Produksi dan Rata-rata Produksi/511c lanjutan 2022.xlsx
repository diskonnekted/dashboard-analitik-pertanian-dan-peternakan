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61883E2-9E92-4970-AE8D-3306147DDD03}" xr6:coauthVersionLast="47" xr6:coauthVersionMax="47" xr10:uidLastSave="{00000000-0000-0000-0000-000000000000}"/>
  <bookViews>
    <workbookView xWindow="28680" yWindow="-120" windowWidth="29040" windowHeight="15720" xr2:uid="{92D63787-54B6-4780-BA8C-27423B684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F33" i="1"/>
  <c r="I32" i="1"/>
  <c r="F32" i="1"/>
  <c r="I31" i="1"/>
  <c r="F31" i="1"/>
  <c r="I30" i="1"/>
  <c r="F30" i="1"/>
  <c r="H29" i="1"/>
  <c r="G29" i="1"/>
  <c r="E29" i="1"/>
  <c r="D29" i="1"/>
  <c r="I28" i="1"/>
  <c r="F28" i="1"/>
  <c r="I27" i="1"/>
  <c r="F27" i="1"/>
  <c r="I26" i="1"/>
  <c r="F26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F17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F9" i="1"/>
  <c r="F29" i="1" l="1"/>
  <c r="I29" i="1"/>
</calcChain>
</file>

<file path=xl/sharedStrings.xml><?xml version="1.0" encoding="utf-8"?>
<sst xmlns="http://schemas.openxmlformats.org/spreadsheetml/2006/main" count="78" uniqueCount="69">
  <si>
    <t>Tahun 2018</t>
  </si>
  <si>
    <t>Tahun 2019</t>
  </si>
  <si>
    <t>Tahun 2020</t>
  </si>
  <si>
    <t>Tahun 2021</t>
  </si>
  <si>
    <t>Tabel : 5.1.2.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</si>
  <si>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</si>
  <si>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</si>
  <si>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Table</t>
  </si>
  <si>
    <t>Kecamatan</t>
  </si>
  <si>
    <r>
      <rPr>
        <sz val="9"/>
        <color theme="1"/>
        <rFont val="Calibri"/>
        <family val="2"/>
      </rPr>
      <t xml:space="preserve">Jagung                                                        </t>
    </r>
    <r>
      <rPr>
        <i/>
        <sz val="9"/>
        <color theme="1"/>
        <rFont val="Calibri"/>
        <family val="2"/>
      </rPr>
      <t>Maize</t>
    </r>
  </si>
  <si>
    <r>
      <rPr>
        <sz val="9"/>
        <color theme="1"/>
        <rFont val="Calibri"/>
        <family val="2"/>
      </rPr>
      <t xml:space="preserve">Ubi Kayu                                                           </t>
    </r>
    <r>
      <rPr>
        <i/>
        <sz val="9"/>
        <color theme="1"/>
        <rFont val="Calibri"/>
        <family val="2"/>
      </rPr>
      <t>Cassava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</si>
  <si>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</si>
  <si>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</si>
  <si>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</si>
  <si>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</si>
  <si>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</si>
  <si>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</si>
  <si>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</si>
  <si>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</si>
  <si>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</si>
  <si>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</si>
  <si>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(11)</t>
  </si>
  <si>
    <t>(12)</t>
  </si>
  <si>
    <t>(13)</t>
  </si>
  <si>
    <t>(14)</t>
  </si>
  <si>
    <t>(15)</t>
  </si>
  <si>
    <t>(16)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</si>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</sst>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0_-;\-* #,##0.00_-;_-* &quot;-&quot;_-;_-@_-"/>
    <numFmt numFmtId="165" formatCode="_(* #,##0.00_);_(* \(#,##0.00\);_(* \-??_);_(@_)"/>
    <numFmt numFmtId="166" formatCode="_(* #,##0_);_(* \(#,##0\);_(* \-??_);_(@_)"/>
    <numFmt numFmtId="167" formatCode="_(* #,##0.00_);_(* \(#,##0.00\);_(* \-_);_(@_)"/>
    <numFmt numFmtId="168" formatCode="_-* #,##0.00_-;\-* #,##0.00_-;_-* &quot;-&quot;_-;_-@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164" fontId="3" fillId="0" borderId="0" xfId="2" applyNumberFormat="1" applyFont="1" applyAlignment="1">
      <alignment horizontal="right"/>
    </xf>
    <xf numFmtId="0" fontId="7" fillId="0" borderId="0" xfId="1" applyFont="1" applyAlignment="1">
      <alignment vertical="top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 applyAlignment="1">
      <alignment horizontal="left"/>
    </xf>
    <xf numFmtId="167" fontId="6" fillId="0" borderId="0" xfId="1" applyNumberFormat="1" applyFont="1" applyAlignment="1">
      <alignment horizontal="left"/>
    </xf>
    <xf numFmtId="165" fontId="6" fillId="0" borderId="0" xfId="1" applyNumberFormat="1" applyFont="1" applyAlignment="1">
      <alignment horizontal="right"/>
    </xf>
    <xf numFmtId="167" fontId="6" fillId="0" borderId="0" xfId="1" applyNumberFormat="1" applyFont="1" applyAlignment="1">
      <alignment horizontal="right"/>
    </xf>
    <xf numFmtId="165" fontId="6" fillId="0" borderId="0" xfId="1" applyNumberFormat="1" applyFont="1" applyAlignment="1">
      <alignment horizontal="center"/>
    </xf>
    <xf numFmtId="2" fontId="6" fillId="0" borderId="0" xfId="1" applyNumberFormat="1" applyFont="1" applyAlignment="1">
      <alignment horizontal="right"/>
    </xf>
    <xf numFmtId="166" fontId="3" fillId="2" borderId="5" xfId="1" applyNumberFormat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left" vertical="center"/>
    </xf>
    <xf numFmtId="0" fontId="9" fillId="0" borderId="3" xfId="1" applyFont="1" applyBorder="1"/>
    <xf numFmtId="168" fontId="4" fillId="0" borderId="3" xfId="1" applyNumberFormat="1" applyFont="1" applyBorder="1" applyAlignment="1">
      <alignment horizontal="center" vertical="center"/>
    </xf>
    <xf numFmtId="168" fontId="4" fillId="0" borderId="3" xfId="1" applyNumberFormat="1" applyFont="1" applyBorder="1" applyAlignment="1">
      <alignment horizontal="left" vertical="center"/>
    </xf>
    <xf numFmtId="165" fontId="3" fillId="0" borderId="3" xfId="1" applyNumberFormat="1" applyFont="1" applyBorder="1" applyAlignment="1">
      <alignment horizontal="left" vertical="center"/>
    </xf>
    <xf numFmtId="165" fontId="3" fillId="0" borderId="0" xfId="1" applyNumberFormat="1" applyFont="1" applyAlignment="1">
      <alignment horizontal="left" vertical="center"/>
    </xf>
    <xf numFmtId="168" fontId="4" fillId="0" borderId="0" xfId="1" applyNumberFormat="1" applyFont="1" applyAlignment="1">
      <alignment horizontal="center" vertical="center"/>
    </xf>
    <xf numFmtId="168" fontId="4" fillId="0" borderId="0" xfId="1" applyNumberFormat="1" applyFont="1" applyAlignment="1">
      <alignment horizontal="left" vertical="center"/>
    </xf>
    <xf numFmtId="168" fontId="4" fillId="3" borderId="0" xfId="1" applyNumberFormat="1" applyFont="1" applyFill="1" applyAlignment="1">
      <alignment horizontal="left" vertical="center"/>
    </xf>
    <xf numFmtId="168" fontId="4" fillId="0" borderId="6" xfId="1" applyNumberFormat="1" applyFont="1" applyBorder="1" applyAlignment="1">
      <alignment horizontal="center" vertical="center"/>
    </xf>
    <xf numFmtId="0" fontId="1" fillId="0" borderId="6" xfId="1" applyBorder="1"/>
    <xf numFmtId="168" fontId="4" fillId="0" borderId="6" xfId="1" applyNumberFormat="1" applyFont="1" applyBorder="1" applyAlignment="1">
      <alignment horizontal="left" vertical="center"/>
    </xf>
    <xf numFmtId="165" fontId="3" fillId="0" borderId="6" xfId="1" applyNumberFormat="1" applyFont="1" applyBorder="1" applyAlignment="1">
      <alignment horizontal="left" vertical="center"/>
    </xf>
    <xf numFmtId="0" fontId="11" fillId="0" borderId="0" xfId="1" applyFont="1"/>
  </cellXfs>
  <cellStyles count="3">
    <cellStyle name="Comma [0] 3" xfId="2" xr:uid="{FE0536B5-E83B-4E9F-9022-78FF9F3D598A}"/>
    <cellStyle name="Normal" xfId="0" builtinId="0"/>
    <cellStyle name="Normal 4" xfId="1" xr:uid="{17C58838-F324-491E-A1B2-15E5532F91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FAA4-2D9D-4B01-8478-0D0AD8A3A125}">
  <dimension ref="A1:I996"/>
  <sheetViews>
    <sheetView tabSelected="1" workbookViewId="0">
      <selection activeCell="N12" sqref="N12"/>
    </sheetView>
  </sheetViews>
  <sheetFormatPr defaultColWidth="14.44140625" defaultRowHeight="13.2" x14ac:dyDescent="0.25"/>
  <cols>
    <col min="1" max="1" width="3.21875" style="6" customWidth="1"/>
    <col min="2" max="2" width="9.21875" style="6" customWidth="1"/>
    <col min="3" max="3" width="4.21875" style="6" customWidth="1"/>
    <col min="4" max="4" width="9.21875" style="6" customWidth="1"/>
    <col min="5" max="5" width="10.77734375" style="6" customWidth="1"/>
    <col min="6" max="6" width="9.21875" style="6" customWidth="1"/>
    <col min="7" max="7" width="9.44140625" style="6" customWidth="1"/>
    <col min="8" max="8" width="11.44140625" style="6" customWidth="1"/>
    <col min="9" max="9" width="7.77734375" style="6" customWidth="1"/>
    <col min="10" max="16384" width="14.44140625" style="6"/>
  </cols>
  <sheetData>
    <row r="1" spans="1:9" ht="12.75" customHeight="1" x14ac:dyDescent="0.3">
      <c r="A1" s="1" t="s">
        <v>4</v>
      </c>
      <c r="B1" s="2"/>
      <c r="C1" s="3" t="s">
        <v>5</v>
      </c>
      <c r="D1" s="4"/>
      <c r="E1" s="4"/>
      <c r="F1" s="4"/>
      <c r="G1" s="4"/>
      <c r="H1" s="4"/>
      <c r="I1" s="7" t="s">
        <v>6</v>
      </c>
    </row>
    <row r="2" spans="1:9" ht="15" thickBot="1" x14ac:dyDescent="0.35">
      <c r="A2" s="8" t="s">
        <v>7</v>
      </c>
      <c r="B2" s="4"/>
      <c r="C2" s="4"/>
      <c r="D2" s="3"/>
      <c r="E2" s="3"/>
      <c r="F2" s="3"/>
      <c r="G2" s="3"/>
      <c r="H2" s="3"/>
      <c r="I2" s="3"/>
    </row>
    <row r="3" spans="1:9" ht="24" customHeight="1" thickTop="1" x14ac:dyDescent="0.25">
      <c r="A3" s="9" t="s">
        <v>8</v>
      </c>
      <c r="B3" s="10"/>
      <c r="C3" s="10"/>
      <c r="D3" s="11" t="s">
        <v>9</v>
      </c>
      <c r="E3" s="12"/>
      <c r="F3" s="12"/>
      <c r="G3" s="11" t="s">
        <v>10</v>
      </c>
      <c r="H3" s="12"/>
      <c r="I3" s="12"/>
    </row>
    <row r="4" spans="1:9" ht="12.75" customHeight="1" x14ac:dyDescent="0.25">
      <c r="A4" s="2"/>
      <c r="B4" s="2"/>
      <c r="C4" s="2"/>
      <c r="D4" s="13" t="s">
        <v>11</v>
      </c>
      <c r="E4" s="14" t="s">
        <v>12</v>
      </c>
      <c r="F4" s="13" t="s">
        <v>13</v>
      </c>
      <c r="G4" s="13" t="s">
        <v>11</v>
      </c>
      <c r="H4" s="14" t="s">
        <v>12</v>
      </c>
      <c r="I4" s="13" t="s">
        <v>13</v>
      </c>
    </row>
    <row r="5" spans="1:9" ht="24" x14ac:dyDescent="0.25">
      <c r="A5" s="2"/>
      <c r="B5" s="2"/>
      <c r="C5" s="2"/>
      <c r="D5" s="15" t="s">
        <v>14</v>
      </c>
      <c r="E5" s="15" t="s">
        <v>15</v>
      </c>
      <c r="F5" s="15" t="s">
        <v>16</v>
      </c>
      <c r="G5" s="15" t="s">
        <v>14</v>
      </c>
      <c r="H5" s="15" t="s">
        <v>15</v>
      </c>
      <c r="I5" s="15" t="s">
        <v>16</v>
      </c>
    </row>
    <row r="6" spans="1:9" x14ac:dyDescent="0.25">
      <c r="A6" s="16"/>
      <c r="B6" s="16"/>
      <c r="C6" s="16"/>
      <c r="D6" s="17" t="s">
        <v>17</v>
      </c>
      <c r="E6" s="17" t="s">
        <v>18</v>
      </c>
      <c r="F6" s="17" t="s">
        <v>19</v>
      </c>
      <c r="G6" s="17" t="s">
        <v>17</v>
      </c>
      <c r="H6" s="17" t="s">
        <v>18</v>
      </c>
      <c r="I6" s="17" t="s">
        <v>19</v>
      </c>
    </row>
    <row r="7" spans="1:9" x14ac:dyDescent="0.25">
      <c r="A7" s="18" t="s">
        <v>20</v>
      </c>
      <c r="B7" s="19"/>
      <c r="C7" s="1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</row>
    <row r="8" spans="1:9" ht="7.5" hidden="1" customHeight="1" x14ac:dyDescent="0.3">
      <c r="A8" s="5"/>
      <c r="B8" s="5"/>
      <c r="C8" s="21"/>
      <c r="D8" s="21"/>
      <c r="E8" s="21"/>
      <c r="F8" s="5"/>
      <c r="G8" s="5"/>
      <c r="H8" s="5"/>
      <c r="I8" s="5"/>
    </row>
    <row r="9" spans="1:9" ht="14.4" x14ac:dyDescent="0.3">
      <c r="A9" s="22" t="s">
        <v>27</v>
      </c>
      <c r="B9" s="23" t="s">
        <v>28</v>
      </c>
      <c r="C9" s="23"/>
      <c r="D9" s="26">
        <v>418</v>
      </c>
      <c r="E9" s="26">
        <v>2608.3200000000002</v>
      </c>
      <c r="F9" s="27">
        <f>SUM(E9/D9)*10</f>
        <v>62.400000000000006</v>
      </c>
      <c r="G9" s="24">
        <v>0</v>
      </c>
      <c r="H9" s="24">
        <v>0</v>
      </c>
      <c r="I9" s="25">
        <v>0</v>
      </c>
    </row>
    <row r="10" spans="1:9" ht="14.4" x14ac:dyDescent="0.3">
      <c r="A10" s="22" t="s">
        <v>29</v>
      </c>
      <c r="B10" s="23" t="s">
        <v>30</v>
      </c>
      <c r="C10" s="23"/>
      <c r="D10" s="26">
        <v>17</v>
      </c>
      <c r="E10" s="26">
        <v>100.3</v>
      </c>
      <c r="F10" s="27">
        <f t="shared" ref="F10:F33" si="0">SUM(E10/D10)*10</f>
        <v>58.999999999999993</v>
      </c>
      <c r="G10" s="28">
        <v>23</v>
      </c>
      <c r="H10" s="28">
        <v>612</v>
      </c>
      <c r="I10" s="25">
        <f>SUM(H10/G10)*10</f>
        <v>266.08695652173913</v>
      </c>
    </row>
    <row r="11" spans="1:9" ht="14.4" x14ac:dyDescent="0.3">
      <c r="A11" s="22" t="s">
        <v>31</v>
      </c>
      <c r="B11" s="23" t="s">
        <v>32</v>
      </c>
      <c r="C11" s="23"/>
      <c r="D11" s="26">
        <v>550</v>
      </c>
      <c r="E11" s="26">
        <v>4191</v>
      </c>
      <c r="F11" s="27">
        <f t="shared" si="0"/>
        <v>76.2</v>
      </c>
      <c r="G11" s="28">
        <v>300</v>
      </c>
      <c r="H11" s="28">
        <v>10950</v>
      </c>
      <c r="I11" s="25">
        <f t="shared" ref="I11:I27" si="1">SUM(H11/G11)*10</f>
        <v>365</v>
      </c>
    </row>
    <row r="12" spans="1:9" ht="14.4" x14ac:dyDescent="0.3">
      <c r="A12" s="22" t="s">
        <v>33</v>
      </c>
      <c r="B12" s="23" t="s">
        <v>34</v>
      </c>
      <c r="C12" s="23"/>
      <c r="D12" s="26">
        <v>1809</v>
      </c>
      <c r="E12" s="26">
        <v>14309.19</v>
      </c>
      <c r="F12" s="27">
        <f t="shared" si="0"/>
        <v>79.099999999999994</v>
      </c>
      <c r="G12" s="28">
        <v>1854</v>
      </c>
      <c r="H12" s="28">
        <v>70448.350000000006</v>
      </c>
      <c r="I12" s="25">
        <f t="shared" si="1"/>
        <v>379.98031283710901</v>
      </c>
    </row>
    <row r="13" spans="1:9" ht="14.4" x14ac:dyDescent="0.3">
      <c r="A13" s="22" t="s">
        <v>35</v>
      </c>
      <c r="B13" s="23" t="s">
        <v>36</v>
      </c>
      <c r="C13" s="23"/>
      <c r="D13" s="26">
        <v>855</v>
      </c>
      <c r="E13" s="26">
        <v>5395.1</v>
      </c>
      <c r="F13" s="27">
        <f t="shared" si="0"/>
        <v>63.100584795321637</v>
      </c>
      <c r="G13" s="28">
        <v>685</v>
      </c>
      <c r="H13" s="28">
        <v>17858</v>
      </c>
      <c r="I13" s="25">
        <f t="shared" si="1"/>
        <v>260.70072992700727</v>
      </c>
    </row>
    <row r="14" spans="1:9" ht="14.4" x14ac:dyDescent="0.3">
      <c r="A14" s="22" t="s">
        <v>37</v>
      </c>
      <c r="B14" s="23" t="s">
        <v>38</v>
      </c>
      <c r="C14" s="23"/>
      <c r="D14" s="26">
        <v>155</v>
      </c>
      <c r="E14" s="26">
        <v>1162.5</v>
      </c>
      <c r="F14" s="27">
        <f t="shared" si="0"/>
        <v>75</v>
      </c>
      <c r="G14" s="28">
        <v>13</v>
      </c>
      <c r="H14" s="28">
        <v>286</v>
      </c>
      <c r="I14" s="25">
        <f t="shared" si="1"/>
        <v>220</v>
      </c>
    </row>
    <row r="15" spans="1:9" ht="14.4" x14ac:dyDescent="0.3">
      <c r="A15" s="22" t="s">
        <v>39</v>
      </c>
      <c r="B15" s="23" t="s">
        <v>40</v>
      </c>
      <c r="C15" s="23"/>
      <c r="D15" s="26">
        <v>189</v>
      </c>
      <c r="E15" s="26">
        <v>1315.44</v>
      </c>
      <c r="F15" s="27">
        <f t="shared" si="0"/>
        <v>69.599999999999994</v>
      </c>
      <c r="G15" s="28">
        <v>34</v>
      </c>
      <c r="H15" s="28">
        <v>408</v>
      </c>
      <c r="I15" s="25">
        <f t="shared" si="1"/>
        <v>120</v>
      </c>
    </row>
    <row r="16" spans="1:9" ht="14.4" x14ac:dyDescent="0.3">
      <c r="A16" s="22" t="s">
        <v>41</v>
      </c>
      <c r="B16" s="23" t="s">
        <v>42</v>
      </c>
      <c r="C16" s="23"/>
      <c r="D16" s="26">
        <v>78</v>
      </c>
      <c r="E16" s="26">
        <v>510.9</v>
      </c>
      <c r="F16" s="27">
        <f t="shared" si="0"/>
        <v>65.5</v>
      </c>
      <c r="G16" s="28">
        <v>0</v>
      </c>
      <c r="H16" s="28">
        <v>0</v>
      </c>
      <c r="I16" s="28">
        <v>0</v>
      </c>
    </row>
    <row r="17" spans="1:9" ht="14.4" x14ac:dyDescent="0.3">
      <c r="A17" s="22" t="s">
        <v>43</v>
      </c>
      <c r="B17" s="23" t="s">
        <v>44</v>
      </c>
      <c r="C17" s="23"/>
      <c r="D17" s="26">
        <v>69</v>
      </c>
      <c r="E17" s="26">
        <v>379.5</v>
      </c>
      <c r="F17" s="27">
        <f t="shared" si="0"/>
        <v>55</v>
      </c>
      <c r="G17" s="28">
        <v>0</v>
      </c>
      <c r="H17" s="28">
        <v>0</v>
      </c>
      <c r="I17" s="28">
        <v>0</v>
      </c>
    </row>
    <row r="18" spans="1:9" ht="14.4" x14ac:dyDescent="0.3">
      <c r="A18" s="22" t="s">
        <v>45</v>
      </c>
      <c r="B18" s="23" t="s">
        <v>46</v>
      </c>
      <c r="C18" s="23"/>
      <c r="D18" s="26">
        <v>20</v>
      </c>
      <c r="E18" s="26">
        <v>105</v>
      </c>
      <c r="F18" s="27">
        <f t="shared" si="0"/>
        <v>52.5</v>
      </c>
      <c r="G18" s="28">
        <v>5</v>
      </c>
      <c r="H18" s="28">
        <v>105</v>
      </c>
      <c r="I18" s="25">
        <f t="shared" si="1"/>
        <v>210</v>
      </c>
    </row>
    <row r="19" spans="1:9" ht="14.4" x14ac:dyDescent="0.3">
      <c r="A19" s="22" t="s">
        <v>47</v>
      </c>
      <c r="B19" s="23" t="s">
        <v>48</v>
      </c>
      <c r="C19" s="23"/>
      <c r="D19" s="26">
        <v>99</v>
      </c>
      <c r="E19" s="26">
        <v>740.5</v>
      </c>
      <c r="F19" s="27">
        <f t="shared" si="0"/>
        <v>74.797979797979806</v>
      </c>
      <c r="G19" s="28">
        <v>67</v>
      </c>
      <c r="H19" s="28">
        <v>1650</v>
      </c>
      <c r="I19" s="25">
        <f t="shared" si="1"/>
        <v>246.26865671641792</v>
      </c>
    </row>
    <row r="20" spans="1:9" ht="14.4" x14ac:dyDescent="0.3">
      <c r="A20" s="22" t="s">
        <v>49</v>
      </c>
      <c r="B20" s="23" t="s">
        <v>50</v>
      </c>
      <c r="C20" s="23"/>
      <c r="D20" s="26">
        <v>131</v>
      </c>
      <c r="E20" s="26">
        <v>817.4</v>
      </c>
      <c r="F20" s="27">
        <f t="shared" si="0"/>
        <v>62.396946564885496</v>
      </c>
      <c r="G20" s="28">
        <v>250</v>
      </c>
      <c r="H20" s="28">
        <v>6425</v>
      </c>
      <c r="I20" s="25">
        <f t="shared" si="1"/>
        <v>257</v>
      </c>
    </row>
    <row r="21" spans="1:9" ht="14.4" x14ac:dyDescent="0.3">
      <c r="A21" s="22" t="s">
        <v>51</v>
      </c>
      <c r="B21" s="23" t="s">
        <v>52</v>
      </c>
      <c r="C21" s="23"/>
      <c r="D21" s="26">
        <v>750</v>
      </c>
      <c r="E21" s="26">
        <v>4191</v>
      </c>
      <c r="F21" s="27">
        <f t="shared" si="0"/>
        <v>55.88</v>
      </c>
      <c r="G21" s="28">
        <v>735</v>
      </c>
      <c r="H21" s="28">
        <v>12895</v>
      </c>
      <c r="I21" s="25">
        <f t="shared" si="1"/>
        <v>175.44217687074831</v>
      </c>
    </row>
    <row r="22" spans="1:9" ht="14.4" x14ac:dyDescent="0.3">
      <c r="A22" s="22" t="s">
        <v>53</v>
      </c>
      <c r="B22" s="23" t="s">
        <v>54</v>
      </c>
      <c r="C22" s="23"/>
      <c r="D22" s="26">
        <v>63</v>
      </c>
      <c r="E22" s="26">
        <v>274.2</v>
      </c>
      <c r="F22" s="27">
        <f t="shared" si="0"/>
        <v>43.523809523809518</v>
      </c>
      <c r="G22" s="28">
        <v>25</v>
      </c>
      <c r="H22" s="28">
        <v>362.5</v>
      </c>
      <c r="I22" s="25">
        <f t="shared" si="1"/>
        <v>145</v>
      </c>
    </row>
    <row r="23" spans="1:9" ht="14.4" x14ac:dyDescent="0.3">
      <c r="A23" s="22" t="s">
        <v>55</v>
      </c>
      <c r="B23" s="23" t="s">
        <v>56</v>
      </c>
      <c r="C23" s="23"/>
      <c r="D23" s="26">
        <v>114</v>
      </c>
      <c r="E23" s="26">
        <v>485</v>
      </c>
      <c r="F23" s="27">
        <f t="shared" si="0"/>
        <v>42.543859649122808</v>
      </c>
      <c r="G23" s="28">
        <v>24</v>
      </c>
      <c r="H23" s="28">
        <v>294</v>
      </c>
      <c r="I23" s="25">
        <f t="shared" si="1"/>
        <v>122.5</v>
      </c>
    </row>
    <row r="24" spans="1:9" ht="14.4" x14ac:dyDescent="0.3">
      <c r="A24" s="22" t="s">
        <v>57</v>
      </c>
      <c r="B24" s="23" t="s">
        <v>58</v>
      </c>
      <c r="C24" s="23"/>
      <c r="D24" s="26">
        <v>214</v>
      </c>
      <c r="E24" s="26">
        <v>1128</v>
      </c>
      <c r="F24" s="27">
        <f t="shared" si="0"/>
        <v>52.710280373831779</v>
      </c>
      <c r="G24" s="28">
        <v>114</v>
      </c>
      <c r="H24" s="28">
        <v>1408</v>
      </c>
      <c r="I24" s="25">
        <f t="shared" si="1"/>
        <v>123.50877192982455</v>
      </c>
    </row>
    <row r="25" spans="1:9" ht="14.4" x14ac:dyDescent="0.3">
      <c r="A25" s="22" t="s">
        <v>59</v>
      </c>
      <c r="B25" s="23" t="s">
        <v>60</v>
      </c>
      <c r="C25" s="23"/>
      <c r="D25" s="26">
        <v>43</v>
      </c>
      <c r="E25" s="26">
        <v>169.5</v>
      </c>
      <c r="F25" s="27">
        <f t="shared" si="0"/>
        <v>39.418604651162788</v>
      </c>
      <c r="G25" s="28">
        <v>0</v>
      </c>
      <c r="H25" s="28">
        <v>0</v>
      </c>
      <c r="I25" s="28">
        <v>0</v>
      </c>
    </row>
    <row r="26" spans="1:9" ht="14.4" x14ac:dyDescent="0.3">
      <c r="A26" s="22" t="s">
        <v>61</v>
      </c>
      <c r="B26" s="23" t="s">
        <v>62</v>
      </c>
      <c r="C26" s="23"/>
      <c r="D26" s="29">
        <v>35</v>
      </c>
      <c r="E26" s="26">
        <v>135</v>
      </c>
      <c r="F26" s="27">
        <f t="shared" si="0"/>
        <v>38.571428571428569</v>
      </c>
      <c r="G26" s="28">
        <v>12</v>
      </c>
      <c r="H26" s="28">
        <v>192</v>
      </c>
      <c r="I26" s="25">
        <f t="shared" si="1"/>
        <v>160</v>
      </c>
    </row>
    <row r="27" spans="1:9" ht="14.4" x14ac:dyDescent="0.3">
      <c r="A27" s="22" t="s">
        <v>63</v>
      </c>
      <c r="B27" s="23" t="s">
        <v>64</v>
      </c>
      <c r="C27" s="23"/>
      <c r="D27" s="26">
        <v>475</v>
      </c>
      <c r="E27" s="26">
        <v>2030</v>
      </c>
      <c r="F27" s="27">
        <f t="shared" si="0"/>
        <v>42.736842105263158</v>
      </c>
      <c r="G27" s="28">
        <v>2</v>
      </c>
      <c r="H27" s="28">
        <v>25</v>
      </c>
      <c r="I27" s="25">
        <f t="shared" si="1"/>
        <v>125</v>
      </c>
    </row>
    <row r="28" spans="1:9" ht="14.4" x14ac:dyDescent="0.3">
      <c r="A28" s="22" t="s">
        <v>65</v>
      </c>
      <c r="B28" s="23" t="s">
        <v>66</v>
      </c>
      <c r="C28" s="23"/>
      <c r="D28" s="26">
        <v>21</v>
      </c>
      <c r="E28" s="26">
        <v>84.6</v>
      </c>
      <c r="F28" s="27">
        <f t="shared" si="0"/>
        <v>40.285714285714285</v>
      </c>
      <c r="G28" s="28">
        <v>40</v>
      </c>
      <c r="H28" s="28">
        <v>483</v>
      </c>
      <c r="I28" s="25">
        <f>SUM(H28/G28)*10</f>
        <v>120.75</v>
      </c>
    </row>
    <row r="29" spans="1:9" ht="14.4" x14ac:dyDescent="0.25">
      <c r="A29" s="30" t="s">
        <v>67</v>
      </c>
      <c r="B29" s="19"/>
      <c r="C29" s="19"/>
      <c r="D29" s="31">
        <f t="shared" ref="D29:E29" si="2">SUM(D9:D28)</f>
        <v>6105</v>
      </c>
      <c r="E29" s="31">
        <f t="shared" si="2"/>
        <v>40132.450000000004</v>
      </c>
      <c r="F29" s="31">
        <f t="shared" si="0"/>
        <v>65.737018837018852</v>
      </c>
      <c r="G29" s="31">
        <f t="shared" ref="G29:H29" si="3">SUM(G9:G28)</f>
        <v>4183</v>
      </c>
      <c r="H29" s="31">
        <f t="shared" si="3"/>
        <v>124401.85</v>
      </c>
      <c r="I29" s="31">
        <f t="shared" ref="I29:I33" si="4">SUM(H29/G29)*10</f>
        <v>297.39863734162088</v>
      </c>
    </row>
    <row r="30" spans="1:9" ht="14.4" x14ac:dyDescent="0.25">
      <c r="A30" s="33" t="s">
        <v>3</v>
      </c>
      <c r="B30" s="32"/>
      <c r="C30" s="32"/>
      <c r="D30" s="34">
        <v>7853</v>
      </c>
      <c r="E30" s="34">
        <v>51949.82</v>
      </c>
      <c r="F30" s="35">
        <f t="shared" si="0"/>
        <v>66.152833312110019</v>
      </c>
      <c r="G30" s="34">
        <v>4597</v>
      </c>
      <c r="H30" s="34">
        <v>130274.21</v>
      </c>
      <c r="I30" s="35">
        <f t="shared" si="4"/>
        <v>283.38962366760933</v>
      </c>
    </row>
    <row r="31" spans="1:9" ht="14.4" x14ac:dyDescent="0.25">
      <c r="A31" s="37" t="s">
        <v>2</v>
      </c>
      <c r="B31" s="2"/>
      <c r="C31" s="2"/>
      <c r="D31" s="38">
        <v>8664</v>
      </c>
      <c r="E31" s="38">
        <v>63108</v>
      </c>
      <c r="F31" s="36">
        <f t="shared" si="0"/>
        <v>72.8393351800554</v>
      </c>
      <c r="G31" s="38">
        <v>3722</v>
      </c>
      <c r="H31" s="39">
        <v>102655</v>
      </c>
      <c r="I31" s="36">
        <f t="shared" si="4"/>
        <v>275.80601826974748</v>
      </c>
    </row>
    <row r="32" spans="1:9" ht="14.4" x14ac:dyDescent="0.25">
      <c r="A32" s="37" t="s">
        <v>1</v>
      </c>
      <c r="B32" s="2"/>
      <c r="C32" s="2"/>
      <c r="D32" s="38">
        <v>9117.2999999999993</v>
      </c>
      <c r="E32" s="38">
        <v>50645.24</v>
      </c>
      <c r="F32" s="36">
        <f t="shared" si="0"/>
        <v>55.548506685093173</v>
      </c>
      <c r="G32" s="38">
        <v>3474</v>
      </c>
      <c r="H32" s="39">
        <v>84910.3</v>
      </c>
      <c r="I32" s="36">
        <f t="shared" si="4"/>
        <v>244.41652274035692</v>
      </c>
    </row>
    <row r="33" spans="1:9" ht="15" thickBot="1" x14ac:dyDescent="0.3">
      <c r="A33" s="40" t="s">
        <v>0</v>
      </c>
      <c r="B33" s="41"/>
      <c r="C33" s="41"/>
      <c r="D33" s="42">
        <v>9234.1</v>
      </c>
      <c r="E33" s="42">
        <v>52943.347482958998</v>
      </c>
      <c r="F33" s="43">
        <f t="shared" si="0"/>
        <v>57.334604869948336</v>
      </c>
      <c r="G33" s="42">
        <v>3571.3</v>
      </c>
      <c r="H33" s="42">
        <v>79007.265094638802</v>
      </c>
      <c r="I33" s="43">
        <f t="shared" si="4"/>
        <v>221.22830648402208</v>
      </c>
    </row>
    <row r="34" spans="1:9" ht="13.5" customHeight="1" thickTop="1" x14ac:dyDescent="0.3">
      <c r="A34" s="5" t="s">
        <v>68</v>
      </c>
      <c r="B34" s="5"/>
      <c r="C34" s="5"/>
      <c r="D34" s="5"/>
      <c r="E34" s="5"/>
      <c r="F34" s="5"/>
      <c r="G34" s="5"/>
      <c r="H34" s="5"/>
      <c r="I34" s="5"/>
    </row>
    <row r="35" spans="1:9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</row>
    <row r="36" spans="1:9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</row>
    <row r="37" spans="1:9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</row>
    <row r="38" spans="1:9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</row>
    <row r="39" spans="1:9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</row>
    <row r="40" spans="1:9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</row>
    <row r="41" spans="1:9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</row>
    <row r="42" spans="1:9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</row>
    <row r="43" spans="1:9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</row>
    <row r="44" spans="1:9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</row>
    <row r="45" spans="1:9" ht="12.75" customHeight="1" x14ac:dyDescent="0.25">
      <c r="D45" s="44"/>
    </row>
    <row r="46" spans="1:9" ht="12.75" customHeight="1" x14ac:dyDescent="0.25">
      <c r="D46" s="44"/>
    </row>
    <row r="47" spans="1:9" ht="12.75" customHeight="1" x14ac:dyDescent="0.25">
      <c r="D47" s="44"/>
    </row>
    <row r="48" spans="1:9" ht="12.75" customHeight="1" x14ac:dyDescent="0.25">
      <c r="D48" s="44"/>
    </row>
    <row r="49" spans="4:4" ht="12.75" customHeight="1" x14ac:dyDescent="0.25">
      <c r="D49" s="44"/>
    </row>
    <row r="50" spans="4:4" ht="12.75" customHeight="1" x14ac:dyDescent="0.25">
      <c r="D50" s="44"/>
    </row>
    <row r="51" spans="4:4" ht="12.75" customHeight="1" x14ac:dyDescent="0.25">
      <c r="D51" s="44"/>
    </row>
    <row r="52" spans="4:4" ht="12.75" customHeight="1" x14ac:dyDescent="0.25">
      <c r="D52" s="44"/>
    </row>
    <row r="53" spans="4:4" ht="12.75" customHeight="1" x14ac:dyDescent="0.25">
      <c r="D53" s="44"/>
    </row>
    <row r="54" spans="4:4" ht="12.75" customHeight="1" x14ac:dyDescent="0.25">
      <c r="D54" s="44"/>
    </row>
    <row r="55" spans="4:4" ht="12.75" customHeight="1" x14ac:dyDescent="0.25">
      <c r="D55" s="44"/>
    </row>
    <row r="56" spans="4:4" ht="12.75" customHeight="1" x14ac:dyDescent="0.25">
      <c r="D56" s="44"/>
    </row>
    <row r="57" spans="4:4" ht="12.75" customHeight="1" x14ac:dyDescent="0.25">
      <c r="D57" s="44"/>
    </row>
    <row r="58" spans="4:4" ht="12.75" customHeight="1" x14ac:dyDescent="0.25">
      <c r="D58" s="44"/>
    </row>
    <row r="59" spans="4:4" ht="12.75" customHeight="1" x14ac:dyDescent="0.25">
      <c r="D59" s="44"/>
    </row>
    <row r="60" spans="4:4" ht="12.75" customHeight="1" x14ac:dyDescent="0.25">
      <c r="D60" s="44"/>
    </row>
    <row r="61" spans="4:4" ht="12.75" customHeight="1" x14ac:dyDescent="0.25">
      <c r="D61" s="44"/>
    </row>
    <row r="62" spans="4:4" ht="12.75" customHeight="1" x14ac:dyDescent="0.25">
      <c r="D62" s="44"/>
    </row>
    <row r="63" spans="4:4" ht="12.75" customHeight="1" x14ac:dyDescent="0.25">
      <c r="D63" s="44"/>
    </row>
    <row r="64" spans="4:4" ht="12.75" customHeight="1" x14ac:dyDescent="0.25">
      <c r="D64" s="44"/>
    </row>
    <row r="65" spans="4:4" ht="12.75" customHeight="1" x14ac:dyDescent="0.25">
      <c r="D65" s="44"/>
    </row>
    <row r="66" spans="4:4" ht="12.75" customHeight="1" x14ac:dyDescent="0.25">
      <c r="D66" s="44"/>
    </row>
    <row r="67" spans="4:4" ht="12.75" customHeight="1" x14ac:dyDescent="0.25">
      <c r="D67" s="44"/>
    </row>
    <row r="68" spans="4:4" ht="12.75" customHeight="1" x14ac:dyDescent="0.25">
      <c r="D68" s="44"/>
    </row>
    <row r="69" spans="4:4" ht="12.75" customHeight="1" x14ac:dyDescent="0.25">
      <c r="D69" s="44"/>
    </row>
    <row r="70" spans="4:4" ht="12.75" customHeight="1" x14ac:dyDescent="0.25">
      <c r="D70" s="44"/>
    </row>
    <row r="71" spans="4:4" ht="12.75" customHeight="1" x14ac:dyDescent="0.25">
      <c r="D71" s="44"/>
    </row>
    <row r="72" spans="4:4" ht="12.75" customHeight="1" x14ac:dyDescent="0.25">
      <c r="D72" s="44"/>
    </row>
    <row r="73" spans="4:4" ht="12.75" customHeight="1" x14ac:dyDescent="0.25">
      <c r="D73" s="44"/>
    </row>
    <row r="74" spans="4:4" ht="12.75" customHeight="1" x14ac:dyDescent="0.25">
      <c r="D74" s="44"/>
    </row>
    <row r="75" spans="4:4" ht="12.75" customHeight="1" x14ac:dyDescent="0.25">
      <c r="D75" s="44"/>
    </row>
    <row r="76" spans="4:4" ht="12.75" customHeight="1" x14ac:dyDescent="0.25">
      <c r="D76" s="44"/>
    </row>
    <row r="77" spans="4:4" ht="12.75" customHeight="1" x14ac:dyDescent="0.25">
      <c r="D77" s="44"/>
    </row>
    <row r="78" spans="4:4" ht="12.75" customHeight="1" x14ac:dyDescent="0.25">
      <c r="D78" s="44"/>
    </row>
    <row r="79" spans="4:4" ht="12.75" customHeight="1" x14ac:dyDescent="0.25">
      <c r="D79" s="44"/>
    </row>
    <row r="80" spans="4:4" ht="12.75" customHeight="1" x14ac:dyDescent="0.25">
      <c r="D80" s="44"/>
    </row>
    <row r="81" spans="4:4" ht="12.75" customHeight="1" x14ac:dyDescent="0.25">
      <c r="D81" s="44"/>
    </row>
    <row r="82" spans="4:4" ht="12.75" customHeight="1" x14ac:dyDescent="0.25">
      <c r="D82" s="44"/>
    </row>
    <row r="83" spans="4:4" ht="12.75" customHeight="1" x14ac:dyDescent="0.25">
      <c r="D83" s="44"/>
    </row>
    <row r="84" spans="4:4" ht="12.75" customHeight="1" x14ac:dyDescent="0.25">
      <c r="D84" s="44"/>
    </row>
    <row r="85" spans="4:4" ht="12.75" customHeight="1" x14ac:dyDescent="0.25">
      <c r="D85" s="44"/>
    </row>
    <row r="86" spans="4:4" ht="12.75" customHeight="1" x14ac:dyDescent="0.25">
      <c r="D86" s="44"/>
    </row>
    <row r="87" spans="4:4" ht="12.75" customHeight="1" x14ac:dyDescent="0.25">
      <c r="D87" s="44"/>
    </row>
    <row r="88" spans="4:4" ht="12.75" customHeight="1" x14ac:dyDescent="0.25">
      <c r="D88" s="44"/>
    </row>
    <row r="89" spans="4:4" ht="12.75" customHeight="1" x14ac:dyDescent="0.25">
      <c r="D89" s="44"/>
    </row>
    <row r="90" spans="4:4" ht="12.75" customHeight="1" x14ac:dyDescent="0.25">
      <c r="D90" s="44"/>
    </row>
    <row r="91" spans="4:4" ht="12.75" customHeight="1" x14ac:dyDescent="0.25">
      <c r="D91" s="44"/>
    </row>
    <row r="92" spans="4:4" ht="12.75" customHeight="1" x14ac:dyDescent="0.25">
      <c r="D92" s="44"/>
    </row>
    <row r="93" spans="4:4" ht="12.75" customHeight="1" x14ac:dyDescent="0.25">
      <c r="D93" s="44"/>
    </row>
    <row r="94" spans="4:4" ht="12.75" customHeight="1" x14ac:dyDescent="0.25">
      <c r="D94" s="44"/>
    </row>
    <row r="95" spans="4:4" ht="12.75" customHeight="1" x14ac:dyDescent="0.25">
      <c r="D95" s="44"/>
    </row>
    <row r="96" spans="4:4" ht="12.75" customHeight="1" x14ac:dyDescent="0.25">
      <c r="D96" s="44"/>
    </row>
    <row r="97" spans="4:4" ht="12.75" customHeight="1" x14ac:dyDescent="0.25">
      <c r="D97" s="44"/>
    </row>
    <row r="98" spans="4:4" ht="12.75" customHeight="1" x14ac:dyDescent="0.25">
      <c r="D98" s="44"/>
    </row>
    <row r="99" spans="4:4" ht="12.75" customHeight="1" x14ac:dyDescent="0.25">
      <c r="D99" s="44"/>
    </row>
    <row r="100" spans="4:4" ht="12.75" customHeight="1" x14ac:dyDescent="0.25">
      <c r="D100" s="44"/>
    </row>
    <row r="101" spans="4:4" ht="12.75" customHeight="1" x14ac:dyDescent="0.25">
      <c r="D101" s="44"/>
    </row>
    <row r="102" spans="4:4" ht="12.75" customHeight="1" x14ac:dyDescent="0.25">
      <c r="D102" s="44"/>
    </row>
    <row r="103" spans="4:4" ht="12.75" customHeight="1" x14ac:dyDescent="0.25">
      <c r="D103" s="44"/>
    </row>
    <row r="104" spans="4:4" ht="12.75" customHeight="1" x14ac:dyDescent="0.25">
      <c r="D104" s="44"/>
    </row>
    <row r="105" spans="4:4" ht="12.75" customHeight="1" x14ac:dyDescent="0.25">
      <c r="D105" s="44"/>
    </row>
    <row r="106" spans="4:4" ht="12.75" customHeight="1" x14ac:dyDescent="0.25">
      <c r="D106" s="44"/>
    </row>
    <row r="107" spans="4:4" ht="12.75" customHeight="1" x14ac:dyDescent="0.25">
      <c r="D107" s="44"/>
    </row>
    <row r="108" spans="4:4" ht="12.75" customHeight="1" x14ac:dyDescent="0.25">
      <c r="D108" s="44"/>
    </row>
    <row r="109" spans="4:4" ht="12.75" customHeight="1" x14ac:dyDescent="0.25">
      <c r="D109" s="44"/>
    </row>
    <row r="110" spans="4:4" ht="12.75" customHeight="1" x14ac:dyDescent="0.25">
      <c r="D110" s="44"/>
    </row>
    <row r="111" spans="4:4" ht="12.75" customHeight="1" x14ac:dyDescent="0.25">
      <c r="D111" s="44"/>
    </row>
    <row r="112" spans="4:4" ht="12.75" customHeight="1" x14ac:dyDescent="0.25">
      <c r="D112" s="44"/>
    </row>
    <row r="113" spans="4:4" ht="12.75" customHeight="1" x14ac:dyDescent="0.25">
      <c r="D113" s="44"/>
    </row>
    <row r="114" spans="4:4" ht="12.75" customHeight="1" x14ac:dyDescent="0.25">
      <c r="D114" s="44"/>
    </row>
    <row r="115" spans="4:4" ht="12.75" customHeight="1" x14ac:dyDescent="0.25">
      <c r="D115" s="44"/>
    </row>
    <row r="116" spans="4:4" ht="12.75" customHeight="1" x14ac:dyDescent="0.25">
      <c r="D116" s="44"/>
    </row>
    <row r="117" spans="4:4" ht="12.75" customHeight="1" x14ac:dyDescent="0.25">
      <c r="D117" s="44"/>
    </row>
    <row r="118" spans="4:4" ht="12.75" customHeight="1" x14ac:dyDescent="0.25">
      <c r="D118" s="44"/>
    </row>
    <row r="119" spans="4:4" ht="12.75" customHeight="1" x14ac:dyDescent="0.25">
      <c r="D119" s="44"/>
    </row>
    <row r="120" spans="4:4" ht="12.75" customHeight="1" x14ac:dyDescent="0.25">
      <c r="D120" s="44"/>
    </row>
    <row r="121" spans="4:4" ht="12.75" customHeight="1" x14ac:dyDescent="0.25">
      <c r="D121" s="44"/>
    </row>
    <row r="122" spans="4:4" ht="12.75" customHeight="1" x14ac:dyDescent="0.25">
      <c r="D122" s="44"/>
    </row>
    <row r="123" spans="4:4" ht="12.75" customHeight="1" x14ac:dyDescent="0.25">
      <c r="D123" s="44"/>
    </row>
    <row r="124" spans="4:4" ht="12.75" customHeight="1" x14ac:dyDescent="0.25">
      <c r="D124" s="44"/>
    </row>
    <row r="125" spans="4:4" ht="12.75" customHeight="1" x14ac:dyDescent="0.25">
      <c r="D125" s="44"/>
    </row>
    <row r="126" spans="4:4" ht="12.75" customHeight="1" x14ac:dyDescent="0.25">
      <c r="D126" s="44"/>
    </row>
    <row r="127" spans="4:4" ht="12.75" customHeight="1" x14ac:dyDescent="0.25">
      <c r="D127" s="44"/>
    </row>
    <row r="128" spans="4:4" ht="12.75" customHeight="1" x14ac:dyDescent="0.25">
      <c r="D128" s="44"/>
    </row>
    <row r="129" spans="4:4" ht="12.75" customHeight="1" x14ac:dyDescent="0.25">
      <c r="D129" s="44"/>
    </row>
    <row r="130" spans="4:4" ht="12.75" customHeight="1" x14ac:dyDescent="0.25">
      <c r="D130" s="44"/>
    </row>
    <row r="131" spans="4:4" ht="12.75" customHeight="1" x14ac:dyDescent="0.25">
      <c r="D131" s="44"/>
    </row>
    <row r="132" spans="4:4" ht="12.75" customHeight="1" x14ac:dyDescent="0.25">
      <c r="D132" s="44"/>
    </row>
    <row r="133" spans="4:4" ht="12.75" customHeight="1" x14ac:dyDescent="0.25">
      <c r="D133" s="44"/>
    </row>
    <row r="134" spans="4:4" ht="12.75" customHeight="1" x14ac:dyDescent="0.25">
      <c r="D134" s="44"/>
    </row>
    <row r="135" spans="4:4" ht="12.75" customHeight="1" x14ac:dyDescent="0.25">
      <c r="D135" s="44"/>
    </row>
    <row r="136" spans="4:4" ht="12.75" customHeight="1" x14ac:dyDescent="0.25">
      <c r="D136" s="44"/>
    </row>
    <row r="137" spans="4:4" ht="12.75" customHeight="1" x14ac:dyDescent="0.25">
      <c r="D137" s="44"/>
    </row>
    <row r="138" spans="4:4" ht="12.75" customHeight="1" x14ac:dyDescent="0.25">
      <c r="D138" s="44"/>
    </row>
    <row r="139" spans="4:4" ht="12.75" customHeight="1" x14ac:dyDescent="0.25">
      <c r="D139" s="44"/>
    </row>
    <row r="140" spans="4:4" ht="12.75" customHeight="1" x14ac:dyDescent="0.25">
      <c r="D140" s="44"/>
    </row>
    <row r="141" spans="4:4" ht="12.75" customHeight="1" x14ac:dyDescent="0.25">
      <c r="D141" s="44"/>
    </row>
    <row r="142" spans="4:4" ht="12.75" customHeight="1" x14ac:dyDescent="0.25">
      <c r="D142" s="44"/>
    </row>
    <row r="143" spans="4:4" ht="12.75" customHeight="1" x14ac:dyDescent="0.25">
      <c r="D143" s="44"/>
    </row>
    <row r="144" spans="4:4" ht="12.75" customHeight="1" x14ac:dyDescent="0.25">
      <c r="D144" s="44"/>
    </row>
    <row r="145" spans="4:4" ht="12.75" customHeight="1" x14ac:dyDescent="0.25">
      <c r="D145" s="44"/>
    </row>
    <row r="146" spans="4:4" ht="12.75" customHeight="1" x14ac:dyDescent="0.25">
      <c r="D146" s="44"/>
    </row>
    <row r="147" spans="4:4" ht="12.75" customHeight="1" x14ac:dyDescent="0.25">
      <c r="D147" s="44"/>
    </row>
    <row r="148" spans="4:4" ht="12.75" customHeight="1" x14ac:dyDescent="0.25">
      <c r="D148" s="44"/>
    </row>
    <row r="149" spans="4:4" ht="12.75" customHeight="1" x14ac:dyDescent="0.25">
      <c r="D149" s="44"/>
    </row>
    <row r="150" spans="4:4" ht="12.75" customHeight="1" x14ac:dyDescent="0.25">
      <c r="D150" s="44"/>
    </row>
    <row r="151" spans="4:4" ht="12.75" customHeight="1" x14ac:dyDescent="0.25">
      <c r="D151" s="44"/>
    </row>
    <row r="152" spans="4:4" ht="12.75" customHeight="1" x14ac:dyDescent="0.25">
      <c r="D152" s="44"/>
    </row>
    <row r="153" spans="4:4" ht="12.75" customHeight="1" x14ac:dyDescent="0.25">
      <c r="D153" s="44"/>
    </row>
    <row r="154" spans="4:4" ht="12.75" customHeight="1" x14ac:dyDescent="0.25">
      <c r="D154" s="44"/>
    </row>
    <row r="155" spans="4:4" ht="12.75" customHeight="1" x14ac:dyDescent="0.25">
      <c r="D155" s="44"/>
    </row>
    <row r="156" spans="4:4" ht="12.75" customHeight="1" x14ac:dyDescent="0.25">
      <c r="D156" s="44"/>
    </row>
    <row r="157" spans="4:4" ht="12.75" customHeight="1" x14ac:dyDescent="0.25">
      <c r="D157" s="44"/>
    </row>
    <row r="158" spans="4:4" ht="12.75" customHeight="1" x14ac:dyDescent="0.25">
      <c r="D158" s="44"/>
    </row>
    <row r="159" spans="4:4" ht="12.75" customHeight="1" x14ac:dyDescent="0.25">
      <c r="D159" s="44"/>
    </row>
    <row r="160" spans="4:4" ht="12.75" customHeight="1" x14ac:dyDescent="0.25">
      <c r="D160" s="44"/>
    </row>
    <row r="161" spans="4:4" ht="12.75" customHeight="1" x14ac:dyDescent="0.25">
      <c r="D161" s="44"/>
    </row>
    <row r="162" spans="4:4" ht="12.75" customHeight="1" x14ac:dyDescent="0.25">
      <c r="D162" s="44"/>
    </row>
    <row r="163" spans="4:4" ht="12.75" customHeight="1" x14ac:dyDescent="0.25">
      <c r="D163" s="44"/>
    </row>
    <row r="164" spans="4:4" ht="12.75" customHeight="1" x14ac:dyDescent="0.25">
      <c r="D164" s="44"/>
    </row>
    <row r="165" spans="4:4" ht="12.75" customHeight="1" x14ac:dyDescent="0.25">
      <c r="D165" s="44"/>
    </row>
    <row r="166" spans="4:4" ht="12.75" customHeight="1" x14ac:dyDescent="0.25">
      <c r="D166" s="44"/>
    </row>
    <row r="167" spans="4:4" ht="12.75" customHeight="1" x14ac:dyDescent="0.25">
      <c r="D167" s="44"/>
    </row>
    <row r="168" spans="4:4" ht="12.75" customHeight="1" x14ac:dyDescent="0.25">
      <c r="D168" s="44"/>
    </row>
    <row r="169" spans="4:4" ht="12.75" customHeight="1" x14ac:dyDescent="0.25">
      <c r="D169" s="44"/>
    </row>
    <row r="170" spans="4:4" ht="12.75" customHeight="1" x14ac:dyDescent="0.25">
      <c r="D170" s="44"/>
    </row>
    <row r="171" spans="4:4" ht="12.75" customHeight="1" x14ac:dyDescent="0.25">
      <c r="D171" s="44"/>
    </row>
    <row r="172" spans="4:4" ht="12.75" customHeight="1" x14ac:dyDescent="0.25">
      <c r="D172" s="44"/>
    </row>
    <row r="173" spans="4:4" ht="12.75" customHeight="1" x14ac:dyDescent="0.25">
      <c r="D173" s="44"/>
    </row>
    <row r="174" spans="4:4" ht="12.75" customHeight="1" x14ac:dyDescent="0.25">
      <c r="D174" s="44"/>
    </row>
    <row r="175" spans="4:4" ht="12.75" customHeight="1" x14ac:dyDescent="0.25">
      <c r="D175" s="44"/>
    </row>
    <row r="176" spans="4:4" ht="12.75" customHeight="1" x14ac:dyDescent="0.25">
      <c r="D176" s="44"/>
    </row>
    <row r="177" spans="4:4" ht="12.75" customHeight="1" x14ac:dyDescent="0.25">
      <c r="D177" s="44"/>
    </row>
    <row r="178" spans="4:4" ht="12.75" customHeight="1" x14ac:dyDescent="0.25">
      <c r="D178" s="44"/>
    </row>
    <row r="179" spans="4:4" ht="12.75" customHeight="1" x14ac:dyDescent="0.25">
      <c r="D179" s="44"/>
    </row>
    <row r="180" spans="4:4" ht="12.75" customHeight="1" x14ac:dyDescent="0.25">
      <c r="D180" s="44"/>
    </row>
    <row r="181" spans="4:4" ht="12.75" customHeight="1" x14ac:dyDescent="0.25">
      <c r="D181" s="44"/>
    </row>
    <row r="182" spans="4:4" ht="12.75" customHeight="1" x14ac:dyDescent="0.25">
      <c r="D182" s="44"/>
    </row>
    <row r="183" spans="4:4" ht="12.75" customHeight="1" x14ac:dyDescent="0.25">
      <c r="D183" s="44"/>
    </row>
    <row r="184" spans="4:4" ht="12.75" customHeight="1" x14ac:dyDescent="0.25">
      <c r="D184" s="44"/>
    </row>
    <row r="185" spans="4:4" ht="12.75" customHeight="1" x14ac:dyDescent="0.25">
      <c r="D185" s="44"/>
    </row>
    <row r="186" spans="4:4" ht="12.75" customHeight="1" x14ac:dyDescent="0.25">
      <c r="D186" s="44"/>
    </row>
    <row r="187" spans="4:4" ht="12.75" customHeight="1" x14ac:dyDescent="0.25">
      <c r="D187" s="44"/>
    </row>
    <row r="188" spans="4:4" ht="12.75" customHeight="1" x14ac:dyDescent="0.25">
      <c r="D188" s="44"/>
    </row>
    <row r="189" spans="4:4" ht="12.75" customHeight="1" x14ac:dyDescent="0.25">
      <c r="D189" s="44"/>
    </row>
    <row r="190" spans="4:4" ht="12.75" customHeight="1" x14ac:dyDescent="0.25">
      <c r="D190" s="44"/>
    </row>
    <row r="191" spans="4:4" ht="12.75" customHeight="1" x14ac:dyDescent="0.25">
      <c r="D191" s="44"/>
    </row>
    <row r="192" spans="4:4" ht="12.75" customHeight="1" x14ac:dyDescent="0.25">
      <c r="D192" s="44"/>
    </row>
    <row r="193" spans="4:4" ht="12.75" customHeight="1" x14ac:dyDescent="0.25">
      <c r="D193" s="44"/>
    </row>
    <row r="194" spans="4:4" ht="12.75" customHeight="1" x14ac:dyDescent="0.25">
      <c r="D194" s="44"/>
    </row>
    <row r="195" spans="4:4" ht="12.75" customHeight="1" x14ac:dyDescent="0.25">
      <c r="D195" s="44"/>
    </row>
    <row r="196" spans="4:4" ht="12.75" customHeight="1" x14ac:dyDescent="0.25">
      <c r="D196" s="44"/>
    </row>
    <row r="197" spans="4:4" ht="12.75" customHeight="1" x14ac:dyDescent="0.25">
      <c r="D197" s="44"/>
    </row>
    <row r="198" spans="4:4" ht="12.75" customHeight="1" x14ac:dyDescent="0.25">
      <c r="D198" s="44"/>
    </row>
    <row r="199" spans="4:4" ht="12.75" customHeight="1" x14ac:dyDescent="0.25">
      <c r="D199" s="44"/>
    </row>
    <row r="200" spans="4:4" ht="12.75" customHeight="1" x14ac:dyDescent="0.25">
      <c r="D200" s="44"/>
    </row>
    <row r="201" spans="4:4" ht="12.75" customHeight="1" x14ac:dyDescent="0.25">
      <c r="D201" s="44"/>
    </row>
    <row r="202" spans="4:4" ht="12.75" customHeight="1" x14ac:dyDescent="0.25">
      <c r="D202" s="44"/>
    </row>
    <row r="203" spans="4:4" ht="12.75" customHeight="1" x14ac:dyDescent="0.25">
      <c r="D203" s="44"/>
    </row>
    <row r="204" spans="4:4" ht="12.75" customHeight="1" x14ac:dyDescent="0.25">
      <c r="D204" s="44"/>
    </row>
    <row r="205" spans="4:4" ht="12.75" customHeight="1" x14ac:dyDescent="0.25">
      <c r="D205" s="44"/>
    </row>
    <row r="206" spans="4:4" ht="12.75" customHeight="1" x14ac:dyDescent="0.25">
      <c r="D206" s="44"/>
    </row>
    <row r="207" spans="4:4" ht="12.75" customHeight="1" x14ac:dyDescent="0.25">
      <c r="D207" s="44"/>
    </row>
    <row r="208" spans="4:4" ht="12.75" customHeight="1" x14ac:dyDescent="0.25">
      <c r="D208" s="44"/>
    </row>
    <row r="209" spans="4:4" ht="12.75" customHeight="1" x14ac:dyDescent="0.25">
      <c r="D209" s="44"/>
    </row>
    <row r="210" spans="4:4" ht="12.75" customHeight="1" x14ac:dyDescent="0.25">
      <c r="D210" s="44"/>
    </row>
    <row r="211" spans="4:4" ht="12.75" customHeight="1" x14ac:dyDescent="0.25">
      <c r="D211" s="44"/>
    </row>
    <row r="212" spans="4:4" ht="12.75" customHeight="1" x14ac:dyDescent="0.25">
      <c r="D212" s="44"/>
    </row>
    <row r="213" spans="4:4" ht="12.75" customHeight="1" x14ac:dyDescent="0.25">
      <c r="D213" s="44"/>
    </row>
    <row r="214" spans="4:4" ht="12.75" customHeight="1" x14ac:dyDescent="0.25">
      <c r="D214" s="44"/>
    </row>
    <row r="215" spans="4:4" ht="12.75" customHeight="1" x14ac:dyDescent="0.25">
      <c r="D215" s="44"/>
    </row>
    <row r="216" spans="4:4" ht="12.75" customHeight="1" x14ac:dyDescent="0.25">
      <c r="D216" s="44"/>
    </row>
    <row r="217" spans="4:4" ht="12.75" customHeight="1" x14ac:dyDescent="0.25">
      <c r="D217" s="44"/>
    </row>
    <row r="218" spans="4:4" ht="12.75" customHeight="1" x14ac:dyDescent="0.25">
      <c r="D218" s="44"/>
    </row>
    <row r="219" spans="4:4" ht="12.75" customHeight="1" x14ac:dyDescent="0.25">
      <c r="D219" s="44"/>
    </row>
    <row r="220" spans="4:4" ht="12.75" customHeight="1" x14ac:dyDescent="0.25">
      <c r="D220" s="44"/>
    </row>
    <row r="221" spans="4:4" ht="12.75" customHeight="1" x14ac:dyDescent="0.25">
      <c r="D221" s="44"/>
    </row>
    <row r="222" spans="4:4" ht="12.75" customHeight="1" x14ac:dyDescent="0.25">
      <c r="D222" s="44"/>
    </row>
    <row r="223" spans="4:4" ht="12.75" customHeight="1" x14ac:dyDescent="0.25">
      <c r="D223" s="44"/>
    </row>
    <row r="224" spans="4:4" ht="12.75" customHeight="1" x14ac:dyDescent="0.25">
      <c r="D224" s="44"/>
    </row>
    <row r="225" spans="4:4" ht="12.75" customHeight="1" x14ac:dyDescent="0.25">
      <c r="D225" s="44"/>
    </row>
    <row r="226" spans="4:4" ht="12.75" customHeight="1" x14ac:dyDescent="0.25">
      <c r="D226" s="44"/>
    </row>
    <row r="227" spans="4:4" ht="12.75" customHeight="1" x14ac:dyDescent="0.25">
      <c r="D227" s="44"/>
    </row>
    <row r="228" spans="4:4" ht="12.75" customHeight="1" x14ac:dyDescent="0.25">
      <c r="D228" s="44"/>
    </row>
    <row r="229" spans="4:4" ht="12.75" customHeight="1" x14ac:dyDescent="0.25">
      <c r="D229" s="44"/>
    </row>
    <row r="230" spans="4:4" ht="12.75" customHeight="1" x14ac:dyDescent="0.25">
      <c r="D230" s="44"/>
    </row>
    <row r="231" spans="4:4" ht="12.75" customHeight="1" x14ac:dyDescent="0.25">
      <c r="D231" s="44"/>
    </row>
    <row r="232" spans="4:4" ht="12.75" customHeight="1" x14ac:dyDescent="0.25">
      <c r="D232" s="44"/>
    </row>
    <row r="233" spans="4:4" ht="12.75" customHeight="1" x14ac:dyDescent="0.25">
      <c r="D233" s="44"/>
    </row>
    <row r="234" spans="4:4" ht="12.75" customHeight="1" x14ac:dyDescent="0.25"/>
    <row r="235" spans="4:4" ht="15.75" customHeight="1" x14ac:dyDescent="0.25"/>
    <row r="236" spans="4:4" ht="15.75" customHeight="1" x14ac:dyDescent="0.25"/>
    <row r="237" spans="4:4" ht="15.75" customHeight="1" x14ac:dyDescent="0.25"/>
    <row r="238" spans="4:4" ht="15.75" customHeight="1" x14ac:dyDescent="0.25"/>
    <row r="239" spans="4:4" ht="15.75" customHeight="1" x14ac:dyDescent="0.25"/>
    <row r="240" spans="4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">
    <mergeCell ref="A33:C33"/>
    <mergeCell ref="A32:C32"/>
    <mergeCell ref="A31:C31"/>
    <mergeCell ref="A30:C30"/>
    <mergeCell ref="A29:C29"/>
    <mergeCell ref="A7:C7"/>
    <mergeCell ref="A3:C6"/>
    <mergeCell ref="D3:F3"/>
    <mergeCell ref="G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2025-07-10T03:55:34Z</dcterms:created>
  <dcterms:modified xsi:type="dcterms:W3CDTF">2025-07-10T03:57:33Z</dcterms:modified>
</cp:coreProperties>
</file>