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08E8CA91-E1FE-494C-870D-7188937C473E}" xr6:coauthVersionLast="47" xr6:coauthVersionMax="47" xr10:uidLastSave="{00000000-0000-0000-0000-000000000000}"/>
  <bookViews>
    <workbookView xWindow="28680" yWindow="-120" windowWidth="29040" windowHeight="15720" xr2:uid="{7F4C4631-CCE1-48AD-AAF4-268A3866D4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H29" i="1"/>
  <c r="G29" i="1"/>
  <c r="E29" i="1"/>
  <c r="D29" i="1"/>
  <c r="J28" i="1"/>
  <c r="F28" i="1"/>
  <c r="J27" i="1"/>
  <c r="F27" i="1"/>
  <c r="J26" i="1"/>
  <c r="F26" i="1"/>
  <c r="F25" i="1"/>
  <c r="J24" i="1"/>
  <c r="F24" i="1"/>
  <c r="J23" i="1"/>
  <c r="F23" i="1"/>
  <c r="J22" i="1"/>
  <c r="F22" i="1"/>
  <c r="J21" i="1"/>
  <c r="F21" i="1"/>
  <c r="J20" i="1"/>
  <c r="F20" i="1"/>
  <c r="J19" i="1"/>
  <c r="F19" i="1"/>
  <c r="J18" i="1"/>
  <c r="F17" i="1"/>
  <c r="J16" i="1"/>
  <c r="F16" i="1"/>
  <c r="J15" i="1"/>
  <c r="F15" i="1"/>
  <c r="J14" i="1"/>
  <c r="F14" i="1"/>
  <c r="J13" i="1"/>
  <c r="F13" i="1"/>
  <c r="J12" i="1"/>
  <c r="F12" i="1"/>
  <c r="F11" i="1"/>
  <c r="J10" i="1"/>
  <c r="F10" i="1"/>
  <c r="J9" i="1"/>
  <c r="F9" i="1"/>
  <c r="F29" i="1" l="1"/>
  <c r="J29" i="1"/>
</calcChain>
</file>

<file path=xl/sharedStrings.xml><?xml version="1.0" encoding="utf-8"?>
<sst xmlns="http://schemas.openxmlformats.org/spreadsheetml/2006/main" count="78" uniqueCount="69">
  <si>
    <t>Tahun 2018</t>
  </si>
  <si>
    <t>Tahun 2019</t>
  </si>
  <si>
    <t>Tabel : 5.1.1.</t>
  </si>
  <si>
    <r>
      <t>Lanjutan</t>
    </r>
    <r>
      <rPr>
        <sz val="11"/>
        <color theme="1"/>
        <rFont val="Calibri"/>
        <family val="2"/>
      </rPr>
      <t>/</t>
    </r>
    <r>
      <rPr>
        <i/>
        <sz val="11"/>
        <color theme="1"/>
        <rFont val="Calibri"/>
        <family val="2"/>
      </rPr>
      <t>Continued</t>
    </r>
  </si>
  <si>
    <t>Tahun 2020</t>
  </si>
  <si>
    <t>Table</t>
  </si>
  <si>
    <t>Kecamatan</t>
  </si>
  <si>
    <r>
      <t xml:space="preserve">Jagung                                                        </t>
    </r>
    <r>
      <rPr>
        <i/>
        <sz val="11"/>
        <color theme="1"/>
        <rFont val="Calibri"/>
        <family val="2"/>
      </rPr>
      <t>Maize</t>
    </r>
  </si>
  <si>
    <r>
      <t xml:space="preserve">Ubi Kayu                                                           </t>
    </r>
    <r>
      <rPr>
        <i/>
        <sz val="11"/>
        <color theme="1"/>
        <rFont val="Calibri"/>
        <family val="2"/>
      </rPr>
      <t>Cassava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</si>
  <si>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</si>
  <si>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</si>
  <si>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</si>
  <si>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</si>
  <si>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</si>
  <si>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</si>
  <si>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</si>
  <si>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</si>
  <si>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</si>
  <si>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</si>
  <si>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(11)</t>
  </si>
  <si>
    <t>(12)</t>
  </si>
  <si>
    <t>(13)</t>
  </si>
  <si>
    <t>(14)</t>
  </si>
  <si>
    <t>(15)</t>
  </si>
  <si>
    <t>(16)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</si>
  <si>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</si>
  <si>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</si>
  <si>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</si>
  <si>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</si>
  <si>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</si>
  <si>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</si>
  <si>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</si>
  <si>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</si>
  <si>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</si>
  <si>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</si>
  <si>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</si>
  <si>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</si>
  <si>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</si>
  <si>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</si>
  <si>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</si>
  <si>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</si>
  <si>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</si>
  <si>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</si>
  <si>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</si>
  <si>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</si>
  <si>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</si>
  <si>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</si>
  <si>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</si>
  <si>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</si>
  <si>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</si>
  <si>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</si>
  <si>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</si>
  <si>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</si>
  <si>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</si>
  <si>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</si>
  <si>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</si>
  <si>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</si>
  <si>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</si>
  <si>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</si>
  <si>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</si>
  <si>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</si>
  <si>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</si>
  <si>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</si>
  <si>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</si>
  <si>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</si>
  <si>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</si>
  <si>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</si>
  <si>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2016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</si>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</sst>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1" fontId="7" fillId="0" borderId="0" applyFont="0" applyFill="0" applyBorder="0" applyAlignment="0" applyProtection="0"/>
  </cellStyleXfs>
  <cellXfs count="41">
    <xf numFmtId="0" fontId="0" fillId="0" borderId="0" xfId="0"/>
    <xf numFmtId="0" fontId="6" fillId="0" borderId="0" xfId="1" applyFont="1"/>
    <xf numFmtId="0" fontId="1" fillId="0" borderId="0" xfId="1"/>
    <xf numFmtId="164" fontId="2" fillId="0" borderId="0" xfId="2" applyNumberFormat="1" applyFont="1" applyAlignment="1">
      <alignment horizontal="left" shrinkToFit="1"/>
    </xf>
    <xf numFmtId="164" fontId="8" fillId="0" borderId="0" xfId="2" applyNumberFormat="1" applyFont="1" applyAlignment="1"/>
    <xf numFmtId="164" fontId="4" fillId="0" borderId="0" xfId="2" applyNumberFormat="1" applyFont="1"/>
    <xf numFmtId="164" fontId="4" fillId="0" borderId="0" xfId="2" applyNumberFormat="1" applyFont="1" applyAlignment="1">
      <alignment horizontal="center"/>
    </xf>
    <xf numFmtId="164" fontId="4" fillId="0" borderId="0" xfId="2" applyNumberFormat="1" applyFont="1" applyAlignment="1">
      <alignment horizontal="right"/>
    </xf>
    <xf numFmtId="164" fontId="9" fillId="0" borderId="0" xfId="2" applyNumberFormat="1" applyFont="1" applyAlignment="1">
      <alignment vertical="top"/>
    </xf>
    <xf numFmtId="164" fontId="6" fillId="0" borderId="1" xfId="2" applyNumberFormat="1" applyFont="1" applyBorder="1" applyAlignment="1">
      <alignment horizontal="center" vertical="center"/>
    </xf>
    <xf numFmtId="164" fontId="5" fillId="0" borderId="1" xfId="2" applyNumberFormat="1" applyFont="1" applyBorder="1"/>
    <xf numFmtId="164" fontId="6" fillId="0" borderId="2" xfId="2" applyNumberFormat="1" applyFont="1" applyBorder="1" applyAlignment="1">
      <alignment horizontal="center" vertical="center" wrapText="1"/>
    </xf>
    <xf numFmtId="164" fontId="5" fillId="0" borderId="2" xfId="2" applyNumberFormat="1" applyFont="1" applyBorder="1"/>
    <xf numFmtId="164" fontId="6" fillId="0" borderId="1" xfId="2" applyNumberFormat="1" applyFont="1" applyBorder="1" applyAlignment="1">
      <alignment horizontal="center" vertical="center" wrapText="1"/>
    </xf>
    <xf numFmtId="164" fontId="6" fillId="0" borderId="0" xfId="2" applyNumberFormat="1" applyFont="1" applyAlignment="1">
      <alignment horizontal="center" wrapText="1"/>
    </xf>
    <xf numFmtId="164" fontId="6" fillId="0" borderId="3" xfId="2" applyNumberFormat="1" applyFont="1" applyBorder="1" applyAlignment="1">
      <alignment horizontal="center" wrapText="1"/>
    </xf>
    <xf numFmtId="164" fontId="9" fillId="0" borderId="0" xfId="2" applyNumberFormat="1" applyFont="1" applyAlignment="1">
      <alignment horizontal="center" vertical="top" wrapText="1"/>
    </xf>
    <xf numFmtId="164" fontId="5" fillId="0" borderId="4" xfId="2" applyNumberFormat="1" applyFont="1" applyBorder="1"/>
    <xf numFmtId="164" fontId="6" fillId="0" borderId="0" xfId="2" applyNumberFormat="1" applyFont="1" applyAlignment="1">
      <alignment horizontal="center" vertical="center" wrapText="1"/>
    </xf>
    <xf numFmtId="164" fontId="6" fillId="0" borderId="4" xfId="2" applyNumberFormat="1" applyFont="1" applyBorder="1" applyAlignment="1">
      <alignment horizontal="center" vertical="center" wrapText="1"/>
    </xf>
    <xf numFmtId="164" fontId="6" fillId="0" borderId="5" xfId="2" applyNumberFormat="1" applyFont="1" applyBorder="1" applyAlignment="1">
      <alignment horizontal="center" vertical="center"/>
    </xf>
    <xf numFmtId="164" fontId="5" fillId="0" borderId="5" xfId="2" applyNumberFormat="1" applyFont="1" applyBorder="1"/>
    <xf numFmtId="164" fontId="6" fillId="0" borderId="5" xfId="2" applyNumberFormat="1" applyFont="1" applyBorder="1" applyAlignment="1">
      <alignment horizontal="center" vertical="center"/>
    </xf>
    <xf numFmtId="164" fontId="6" fillId="0" borderId="0" xfId="2" applyNumberFormat="1" applyFont="1"/>
    <xf numFmtId="164" fontId="6" fillId="0" borderId="3" xfId="2" applyNumberFormat="1" applyFont="1" applyBorder="1"/>
    <xf numFmtId="164" fontId="6" fillId="0" borderId="0" xfId="2" applyNumberFormat="1" applyFont="1" applyAlignment="1">
      <alignment horizontal="center" vertical="center"/>
    </xf>
    <xf numFmtId="164" fontId="6" fillId="0" borderId="0" xfId="2" applyNumberFormat="1" applyFont="1" applyAlignment="1">
      <alignment horizontal="left" vertical="center"/>
    </xf>
    <xf numFmtId="164" fontId="8" fillId="0" borderId="0" xfId="2" applyNumberFormat="1" applyFont="1" applyAlignment="1">
      <alignment horizontal="left"/>
    </xf>
    <xf numFmtId="164" fontId="8" fillId="0" borderId="0" xfId="2" applyNumberFormat="1" applyFont="1"/>
    <xf numFmtId="164" fontId="8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right"/>
    </xf>
    <xf numFmtId="164" fontId="4" fillId="0" borderId="5" xfId="2" applyNumberFormat="1" applyFont="1" applyBorder="1" applyAlignment="1">
      <alignment horizontal="center" vertical="center"/>
    </xf>
    <xf numFmtId="164" fontId="3" fillId="0" borderId="5" xfId="2" applyNumberFormat="1" applyFont="1" applyBorder="1"/>
    <xf numFmtId="164" fontId="4" fillId="0" borderId="3" xfId="2" applyNumberFormat="1" applyFont="1" applyBorder="1" applyAlignment="1">
      <alignment horizontal="left" vertical="center"/>
    </xf>
    <xf numFmtId="164" fontId="6" fillId="0" borderId="3" xfId="2" applyNumberFormat="1" applyFont="1" applyBorder="1" applyAlignment="1">
      <alignment horizontal="center" vertical="center"/>
    </xf>
    <xf numFmtId="164" fontId="5" fillId="0" borderId="3" xfId="2" applyNumberFormat="1" applyFont="1" applyBorder="1"/>
    <xf numFmtId="164" fontId="6" fillId="0" borderId="3" xfId="2" applyNumberFormat="1" applyFont="1" applyBorder="1" applyAlignment="1">
      <alignment horizontal="left" vertical="center"/>
    </xf>
    <xf numFmtId="164" fontId="6" fillId="2" borderId="3" xfId="2" applyNumberFormat="1" applyFont="1" applyFill="1" applyBorder="1" applyAlignment="1">
      <alignment horizontal="left" vertical="center"/>
    </xf>
    <xf numFmtId="164" fontId="6" fillId="0" borderId="0" xfId="2" applyNumberFormat="1" applyFont="1" applyAlignment="1">
      <alignment horizontal="center" vertical="center"/>
    </xf>
    <xf numFmtId="164" fontId="6" fillId="0" borderId="1" xfId="2" applyNumberFormat="1" applyFont="1" applyBorder="1"/>
    <xf numFmtId="0" fontId="10" fillId="0" borderId="0" xfId="1" applyFont="1"/>
  </cellXfs>
  <cellStyles count="3">
    <cellStyle name="Comma [0] 3" xfId="2" xr:uid="{A06B5D28-C2D0-4C41-9F83-94C5A100E980}"/>
    <cellStyle name="Normal" xfId="0" builtinId="0"/>
    <cellStyle name="Normal 4" xfId="1" xr:uid="{791F5C53-39B2-497C-8C5E-2E71460A0E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DC58-0157-4978-B510-7AABF41C8CD9}">
  <dimension ref="A1:J996"/>
  <sheetViews>
    <sheetView tabSelected="1" workbookViewId="0">
      <selection activeCell="K7" sqref="K7"/>
    </sheetView>
  </sheetViews>
  <sheetFormatPr defaultColWidth="14.44140625" defaultRowHeight="13.2" x14ac:dyDescent="0.25"/>
  <cols>
    <col min="1" max="1" width="3.21875" style="2" customWidth="1"/>
    <col min="2" max="2" width="9.21875" style="2" customWidth="1"/>
    <col min="3" max="3" width="4.21875" style="2" customWidth="1"/>
    <col min="4" max="4" width="10.5546875" style="2" customWidth="1"/>
    <col min="5" max="5" width="11" style="2" customWidth="1"/>
    <col min="6" max="6" width="10.77734375" style="2" customWidth="1"/>
    <col min="7" max="7" width="0.5546875" style="2" hidden="1" customWidth="1"/>
    <col min="8" max="8" width="10.77734375" style="2" customWidth="1"/>
    <col min="9" max="9" width="11.77734375" style="2" customWidth="1"/>
    <col min="10" max="10" width="9.77734375" style="2" customWidth="1"/>
    <col min="11" max="16384" width="14.44140625" style="2"/>
  </cols>
  <sheetData>
    <row r="1" spans="1:10" ht="12.75" customHeight="1" x14ac:dyDescent="0.3">
      <c r="A1" s="3" t="s">
        <v>2</v>
      </c>
      <c r="B1" s="4"/>
      <c r="C1" s="5" t="s">
        <v>3</v>
      </c>
      <c r="D1" s="6"/>
      <c r="E1" s="6"/>
      <c r="F1" s="6"/>
      <c r="G1" s="6"/>
      <c r="H1" s="6"/>
      <c r="I1" s="6"/>
      <c r="J1" s="7" t="s">
        <v>4</v>
      </c>
    </row>
    <row r="2" spans="1:10" ht="15" thickBot="1" x14ac:dyDescent="0.35">
      <c r="A2" s="8" t="s">
        <v>5</v>
      </c>
      <c r="B2" s="6"/>
      <c r="C2" s="6"/>
      <c r="D2" s="5"/>
      <c r="E2" s="5"/>
      <c r="F2" s="5"/>
      <c r="G2" s="5"/>
      <c r="H2" s="5"/>
      <c r="I2" s="5"/>
      <c r="J2" s="5"/>
    </row>
    <row r="3" spans="1:10" ht="24" customHeight="1" thickTop="1" x14ac:dyDescent="0.3">
      <c r="A3" s="9" t="s">
        <v>6</v>
      </c>
      <c r="B3" s="10"/>
      <c r="C3" s="10"/>
      <c r="D3" s="11" t="s">
        <v>7</v>
      </c>
      <c r="E3" s="12"/>
      <c r="F3" s="12"/>
      <c r="G3" s="13"/>
      <c r="H3" s="11" t="s">
        <v>8</v>
      </c>
      <c r="I3" s="12"/>
      <c r="J3" s="12"/>
    </row>
    <row r="4" spans="1:10" ht="12.75" customHeight="1" x14ac:dyDescent="0.3">
      <c r="A4" s="4"/>
      <c r="B4" s="4"/>
      <c r="C4" s="4"/>
      <c r="D4" s="14" t="s">
        <v>9</v>
      </c>
      <c r="E4" s="15" t="s">
        <v>10</v>
      </c>
      <c r="F4" s="14" t="s">
        <v>11</v>
      </c>
      <c r="G4" s="14"/>
      <c r="H4" s="14" t="s">
        <v>9</v>
      </c>
      <c r="I4" s="15" t="s">
        <v>10</v>
      </c>
      <c r="J4" s="14" t="s">
        <v>11</v>
      </c>
    </row>
    <row r="5" spans="1:10" ht="28.8" x14ac:dyDescent="0.25">
      <c r="A5" s="4"/>
      <c r="B5" s="4"/>
      <c r="C5" s="4"/>
      <c r="D5" s="16" t="s">
        <v>12</v>
      </c>
      <c r="E5" s="16" t="s">
        <v>13</v>
      </c>
      <c r="F5" s="16" t="s">
        <v>14</v>
      </c>
      <c r="G5" s="16"/>
      <c r="H5" s="16" t="s">
        <v>12</v>
      </c>
      <c r="I5" s="16" t="s">
        <v>13</v>
      </c>
      <c r="J5" s="16" t="s">
        <v>14</v>
      </c>
    </row>
    <row r="6" spans="1:10" ht="14.4" x14ac:dyDescent="0.25">
      <c r="A6" s="17"/>
      <c r="B6" s="17"/>
      <c r="C6" s="17"/>
      <c r="D6" s="18" t="s">
        <v>15</v>
      </c>
      <c r="E6" s="18" t="s">
        <v>16</v>
      </c>
      <c r="F6" s="18" t="s">
        <v>17</v>
      </c>
      <c r="G6" s="19"/>
      <c r="H6" s="18" t="s">
        <v>15</v>
      </c>
      <c r="I6" s="18" t="s">
        <v>16</v>
      </c>
      <c r="J6" s="18" t="s">
        <v>17</v>
      </c>
    </row>
    <row r="7" spans="1:10" ht="14.4" x14ac:dyDescent="0.3">
      <c r="A7" s="20" t="s">
        <v>18</v>
      </c>
      <c r="B7" s="21"/>
      <c r="C7" s="21"/>
      <c r="D7" s="22" t="s">
        <v>19</v>
      </c>
      <c r="E7" s="22" t="s">
        <v>20</v>
      </c>
      <c r="F7" s="22" t="s">
        <v>21</v>
      </c>
      <c r="G7" s="22"/>
      <c r="H7" s="22" t="s">
        <v>22</v>
      </c>
      <c r="I7" s="22" t="s">
        <v>23</v>
      </c>
      <c r="J7" s="22" t="s">
        <v>24</v>
      </c>
    </row>
    <row r="8" spans="1:10" ht="7.5" hidden="1" customHeight="1" x14ac:dyDescent="0.3">
      <c r="A8" s="23"/>
      <c r="B8" s="23"/>
      <c r="C8" s="24"/>
      <c r="D8" s="24"/>
      <c r="E8" s="24"/>
      <c r="F8" s="23"/>
      <c r="G8" s="23"/>
      <c r="H8" s="23"/>
      <c r="I8" s="23"/>
      <c r="J8" s="23"/>
    </row>
    <row r="9" spans="1:10" ht="14.4" x14ac:dyDescent="0.3">
      <c r="A9" s="25" t="s">
        <v>25</v>
      </c>
      <c r="B9" s="26" t="s">
        <v>26</v>
      </c>
      <c r="C9" s="26"/>
      <c r="D9" s="27">
        <v>795</v>
      </c>
      <c r="E9" s="27">
        <v>6161</v>
      </c>
      <c r="F9" s="27">
        <f t="shared" ref="F9:F17" si="0">E9/D9*10</f>
        <v>77.496855345911953</v>
      </c>
      <c r="G9" s="28"/>
      <c r="H9" s="27">
        <v>190</v>
      </c>
      <c r="I9" s="27">
        <v>4560</v>
      </c>
      <c r="J9" s="27">
        <f>(I9/H9)*10</f>
        <v>240</v>
      </c>
    </row>
    <row r="10" spans="1:10" ht="14.4" x14ac:dyDescent="0.3">
      <c r="A10" s="25" t="s">
        <v>27</v>
      </c>
      <c r="B10" s="26" t="s">
        <v>28</v>
      </c>
      <c r="C10" s="26"/>
      <c r="D10" s="27">
        <v>315</v>
      </c>
      <c r="E10" s="27">
        <v>2284</v>
      </c>
      <c r="F10" s="27">
        <f t="shared" si="0"/>
        <v>72.507936507936506</v>
      </c>
      <c r="G10" s="28"/>
      <c r="H10" s="29">
        <v>17</v>
      </c>
      <c r="I10" s="29">
        <v>625.6</v>
      </c>
      <c r="J10" s="27">
        <f t="shared" ref="J10:J28" si="1">(I10/H10)*10</f>
        <v>368.00000000000006</v>
      </c>
    </row>
    <row r="11" spans="1:10" ht="14.4" x14ac:dyDescent="0.3">
      <c r="A11" s="25" t="s">
        <v>29</v>
      </c>
      <c r="B11" s="26" t="s">
        <v>30</v>
      </c>
      <c r="C11" s="26"/>
      <c r="D11" s="27">
        <v>1038</v>
      </c>
      <c r="E11" s="27">
        <v>7577</v>
      </c>
      <c r="F11" s="27">
        <f t="shared" si="0"/>
        <v>72.9961464354528</v>
      </c>
      <c r="G11" s="28"/>
      <c r="H11" s="29">
        <v>0</v>
      </c>
      <c r="I11" s="29">
        <v>0</v>
      </c>
      <c r="J11" s="27">
        <v>0</v>
      </c>
    </row>
    <row r="12" spans="1:10" ht="14.4" x14ac:dyDescent="0.3">
      <c r="A12" s="25" t="s">
        <v>31</v>
      </c>
      <c r="B12" s="26" t="s">
        <v>32</v>
      </c>
      <c r="C12" s="26"/>
      <c r="D12" s="27">
        <v>2001</v>
      </c>
      <c r="E12" s="27">
        <v>17409</v>
      </c>
      <c r="F12" s="27">
        <f t="shared" si="0"/>
        <v>87.001499250374806</v>
      </c>
      <c r="G12" s="28"/>
      <c r="H12" s="29">
        <v>1322</v>
      </c>
      <c r="I12" s="29">
        <v>37280.400000000001</v>
      </c>
      <c r="J12" s="27">
        <f t="shared" si="1"/>
        <v>282</v>
      </c>
    </row>
    <row r="13" spans="1:10" ht="14.4" x14ac:dyDescent="0.3">
      <c r="A13" s="25" t="s">
        <v>33</v>
      </c>
      <c r="B13" s="26" t="s">
        <v>34</v>
      </c>
      <c r="C13" s="26"/>
      <c r="D13" s="27">
        <v>1595</v>
      </c>
      <c r="E13" s="27">
        <v>13877</v>
      </c>
      <c r="F13" s="27">
        <f t="shared" si="0"/>
        <v>87.003134796238243</v>
      </c>
      <c r="G13" s="28"/>
      <c r="H13" s="29">
        <v>766</v>
      </c>
      <c r="I13" s="29">
        <v>21448</v>
      </c>
      <c r="J13" s="27">
        <f t="shared" si="1"/>
        <v>280</v>
      </c>
    </row>
    <row r="14" spans="1:10" ht="14.4" x14ac:dyDescent="0.3">
      <c r="A14" s="25" t="s">
        <v>35</v>
      </c>
      <c r="B14" s="26" t="s">
        <v>36</v>
      </c>
      <c r="C14" s="26"/>
      <c r="D14" s="27">
        <v>86</v>
      </c>
      <c r="E14" s="27">
        <v>645</v>
      </c>
      <c r="F14" s="27">
        <f t="shared" si="0"/>
        <v>75</v>
      </c>
      <c r="G14" s="28"/>
      <c r="H14" s="29">
        <v>20</v>
      </c>
      <c r="I14" s="29">
        <v>580</v>
      </c>
      <c r="J14" s="27">
        <f t="shared" si="1"/>
        <v>290</v>
      </c>
    </row>
    <row r="15" spans="1:10" ht="14.4" x14ac:dyDescent="0.3">
      <c r="A15" s="25" t="s">
        <v>37</v>
      </c>
      <c r="B15" s="26" t="s">
        <v>38</v>
      </c>
      <c r="C15" s="26"/>
      <c r="D15" s="27">
        <v>216</v>
      </c>
      <c r="E15" s="27">
        <v>1577</v>
      </c>
      <c r="F15" s="27">
        <f t="shared" si="0"/>
        <v>73.009259259259252</v>
      </c>
      <c r="G15" s="28"/>
      <c r="H15" s="29">
        <v>107</v>
      </c>
      <c r="I15" s="29">
        <v>2782</v>
      </c>
      <c r="J15" s="27">
        <f t="shared" si="1"/>
        <v>260</v>
      </c>
    </row>
    <row r="16" spans="1:10" ht="14.4" x14ac:dyDescent="0.3">
      <c r="A16" s="25" t="s">
        <v>39</v>
      </c>
      <c r="B16" s="26" t="s">
        <v>40</v>
      </c>
      <c r="C16" s="26"/>
      <c r="D16" s="27">
        <v>63</v>
      </c>
      <c r="E16" s="27">
        <v>413</v>
      </c>
      <c r="F16" s="27">
        <f t="shared" si="0"/>
        <v>65.555555555555557</v>
      </c>
      <c r="G16" s="28"/>
      <c r="H16" s="29">
        <v>2</v>
      </c>
      <c r="I16" s="29">
        <v>58</v>
      </c>
      <c r="J16" s="27">
        <f t="shared" si="1"/>
        <v>290</v>
      </c>
    </row>
    <row r="17" spans="1:10" ht="14.4" x14ac:dyDescent="0.3">
      <c r="A17" s="25" t="s">
        <v>41</v>
      </c>
      <c r="B17" s="26" t="s">
        <v>42</v>
      </c>
      <c r="C17" s="26"/>
      <c r="D17" s="27">
        <v>14</v>
      </c>
      <c r="E17" s="27">
        <v>88</v>
      </c>
      <c r="F17" s="27">
        <f t="shared" si="0"/>
        <v>62.857142857142854</v>
      </c>
      <c r="G17" s="28"/>
      <c r="H17" s="29">
        <v>0</v>
      </c>
      <c r="I17" s="29">
        <v>0</v>
      </c>
      <c r="J17" s="27">
        <v>0</v>
      </c>
    </row>
    <row r="18" spans="1:10" ht="14.4" x14ac:dyDescent="0.3">
      <c r="A18" s="25" t="s">
        <v>43</v>
      </c>
      <c r="B18" s="26" t="s">
        <v>44</v>
      </c>
      <c r="C18" s="26"/>
      <c r="D18" s="27">
        <v>0</v>
      </c>
      <c r="E18" s="27">
        <v>0</v>
      </c>
      <c r="F18" s="27">
        <v>0</v>
      </c>
      <c r="G18" s="28"/>
      <c r="H18" s="29">
        <v>36</v>
      </c>
      <c r="I18" s="29">
        <v>3132</v>
      </c>
      <c r="J18" s="27">
        <f t="shared" si="1"/>
        <v>870</v>
      </c>
    </row>
    <row r="19" spans="1:10" ht="14.4" x14ac:dyDescent="0.3">
      <c r="A19" s="25" t="s">
        <v>45</v>
      </c>
      <c r="B19" s="26" t="s">
        <v>46</v>
      </c>
      <c r="C19" s="26"/>
      <c r="D19" s="27">
        <v>140</v>
      </c>
      <c r="E19" s="27">
        <v>952</v>
      </c>
      <c r="F19" s="27">
        <f t="shared" ref="F19:F28" si="2">E19/D19*10</f>
        <v>68</v>
      </c>
      <c r="G19" s="28"/>
      <c r="H19" s="29">
        <v>280</v>
      </c>
      <c r="I19" s="29">
        <v>6160</v>
      </c>
      <c r="J19" s="27">
        <f t="shared" si="1"/>
        <v>220</v>
      </c>
    </row>
    <row r="20" spans="1:10" ht="14.4" x14ac:dyDescent="0.3">
      <c r="A20" s="25" t="s">
        <v>47</v>
      </c>
      <c r="B20" s="26" t="s">
        <v>48</v>
      </c>
      <c r="C20" s="26"/>
      <c r="D20" s="27">
        <v>209</v>
      </c>
      <c r="E20" s="27">
        <v>1231</v>
      </c>
      <c r="F20" s="27">
        <f t="shared" si="2"/>
        <v>58.899521531100483</v>
      </c>
      <c r="G20" s="28"/>
      <c r="H20" s="29">
        <v>70</v>
      </c>
      <c r="I20" s="29">
        <v>1796.2</v>
      </c>
      <c r="J20" s="27">
        <f t="shared" si="1"/>
        <v>256.60000000000002</v>
      </c>
    </row>
    <row r="21" spans="1:10" ht="14.4" x14ac:dyDescent="0.3">
      <c r="A21" s="25" t="s">
        <v>49</v>
      </c>
      <c r="B21" s="26" t="s">
        <v>50</v>
      </c>
      <c r="C21" s="26"/>
      <c r="D21" s="27">
        <v>170</v>
      </c>
      <c r="E21" s="27">
        <v>751</v>
      </c>
      <c r="F21" s="27">
        <f t="shared" si="2"/>
        <v>44.176470588235297</v>
      </c>
      <c r="G21" s="28"/>
      <c r="H21" s="29">
        <v>675</v>
      </c>
      <c r="I21" s="29">
        <v>20250</v>
      </c>
      <c r="J21" s="27">
        <f t="shared" si="1"/>
        <v>300</v>
      </c>
    </row>
    <row r="22" spans="1:10" ht="14.4" x14ac:dyDescent="0.3">
      <c r="A22" s="25" t="s">
        <v>51</v>
      </c>
      <c r="B22" s="26" t="s">
        <v>52</v>
      </c>
      <c r="C22" s="26"/>
      <c r="D22" s="27">
        <v>227</v>
      </c>
      <c r="E22" s="27">
        <v>1112</v>
      </c>
      <c r="F22" s="27">
        <f t="shared" si="2"/>
        <v>48.986784140969164</v>
      </c>
      <c r="G22" s="28"/>
      <c r="H22" s="29">
        <v>27</v>
      </c>
      <c r="I22" s="29">
        <v>1036.8</v>
      </c>
      <c r="J22" s="27">
        <f t="shared" si="1"/>
        <v>384</v>
      </c>
    </row>
    <row r="23" spans="1:10" ht="14.4" x14ac:dyDescent="0.3">
      <c r="A23" s="25" t="s">
        <v>53</v>
      </c>
      <c r="B23" s="26" t="s">
        <v>54</v>
      </c>
      <c r="C23" s="26"/>
      <c r="D23" s="27">
        <v>153</v>
      </c>
      <c r="E23" s="27">
        <v>722</v>
      </c>
      <c r="F23" s="27">
        <f t="shared" si="2"/>
        <v>47.189542483660134</v>
      </c>
      <c r="G23" s="28"/>
      <c r="H23" s="29">
        <v>33</v>
      </c>
      <c r="I23" s="29">
        <v>429</v>
      </c>
      <c r="J23" s="27">
        <f t="shared" si="1"/>
        <v>130</v>
      </c>
    </row>
    <row r="24" spans="1:10" ht="14.4" x14ac:dyDescent="0.3">
      <c r="A24" s="25" t="s">
        <v>55</v>
      </c>
      <c r="B24" s="26" t="s">
        <v>56</v>
      </c>
      <c r="C24" s="26"/>
      <c r="D24" s="27">
        <v>553</v>
      </c>
      <c r="E24" s="27">
        <v>2632</v>
      </c>
      <c r="F24" s="27">
        <f t="shared" si="2"/>
        <v>47.594936708860757</v>
      </c>
      <c r="G24" s="28"/>
      <c r="H24" s="29">
        <v>84</v>
      </c>
      <c r="I24" s="29">
        <v>1008</v>
      </c>
      <c r="J24" s="27">
        <f t="shared" si="1"/>
        <v>120</v>
      </c>
    </row>
    <row r="25" spans="1:10" ht="14.4" x14ac:dyDescent="0.3">
      <c r="A25" s="25" t="s">
        <v>57</v>
      </c>
      <c r="B25" s="26" t="s">
        <v>58</v>
      </c>
      <c r="C25" s="26"/>
      <c r="D25" s="27">
        <v>57</v>
      </c>
      <c r="E25" s="27">
        <v>222</v>
      </c>
      <c r="F25" s="27">
        <f t="shared" si="2"/>
        <v>38.94736842105263</v>
      </c>
      <c r="G25" s="28"/>
      <c r="H25" s="29">
        <v>0</v>
      </c>
      <c r="I25" s="29">
        <v>0</v>
      </c>
      <c r="J25" s="27">
        <v>0</v>
      </c>
    </row>
    <row r="26" spans="1:10" ht="14.4" x14ac:dyDescent="0.3">
      <c r="A26" s="25" t="s">
        <v>59</v>
      </c>
      <c r="B26" s="26" t="s">
        <v>60</v>
      </c>
      <c r="C26" s="26"/>
      <c r="D26" s="30">
        <v>150</v>
      </c>
      <c r="E26" s="27">
        <v>705</v>
      </c>
      <c r="F26" s="27">
        <f t="shared" si="2"/>
        <v>47</v>
      </c>
      <c r="G26" s="28"/>
      <c r="H26" s="29">
        <v>48</v>
      </c>
      <c r="I26" s="29">
        <v>864</v>
      </c>
      <c r="J26" s="27">
        <f t="shared" si="1"/>
        <v>180</v>
      </c>
    </row>
    <row r="27" spans="1:10" ht="14.4" x14ac:dyDescent="0.3">
      <c r="A27" s="25" t="s">
        <v>61</v>
      </c>
      <c r="B27" s="26" t="s">
        <v>62</v>
      </c>
      <c r="C27" s="26"/>
      <c r="D27" s="27">
        <v>635</v>
      </c>
      <c r="E27" s="27">
        <v>3461</v>
      </c>
      <c r="F27" s="27">
        <f t="shared" si="2"/>
        <v>54.503937007874015</v>
      </c>
      <c r="G27" s="28"/>
      <c r="H27" s="29">
        <v>10</v>
      </c>
      <c r="I27" s="29">
        <v>155</v>
      </c>
      <c r="J27" s="27">
        <f t="shared" si="1"/>
        <v>155</v>
      </c>
    </row>
    <row r="28" spans="1:10" ht="14.4" x14ac:dyDescent="0.3">
      <c r="A28" s="25" t="s">
        <v>63</v>
      </c>
      <c r="B28" s="26" t="s">
        <v>64</v>
      </c>
      <c r="C28" s="26"/>
      <c r="D28" s="27">
        <v>247</v>
      </c>
      <c r="E28" s="27">
        <v>1289</v>
      </c>
      <c r="F28" s="27">
        <f t="shared" si="2"/>
        <v>52.186234817813769</v>
      </c>
      <c r="G28" s="28"/>
      <c r="H28" s="29">
        <v>35</v>
      </c>
      <c r="I28" s="29">
        <v>490</v>
      </c>
      <c r="J28" s="27">
        <f t="shared" si="1"/>
        <v>140</v>
      </c>
    </row>
    <row r="29" spans="1:10" ht="14.4" x14ac:dyDescent="0.3">
      <c r="A29" s="31" t="s">
        <v>65</v>
      </c>
      <c r="B29" s="32"/>
      <c r="C29" s="32"/>
      <c r="D29" s="33">
        <f t="shared" ref="D29:I29" si="3">SUM(D9:D28)</f>
        <v>8664</v>
      </c>
      <c r="E29" s="33">
        <f t="shared" si="3"/>
        <v>63108</v>
      </c>
      <c r="F29" s="33">
        <f>SUM(F9:F28)/19</f>
        <v>62.153280300391494</v>
      </c>
      <c r="G29" s="33">
        <f t="shared" si="3"/>
        <v>0</v>
      </c>
      <c r="H29" s="33">
        <f t="shared" si="3"/>
        <v>3722</v>
      </c>
      <c r="I29" s="33">
        <f t="shared" si="3"/>
        <v>102655</v>
      </c>
      <c r="J29" s="33">
        <f>SUM(J9:J28)/17</f>
        <v>280.32941176470592</v>
      </c>
    </row>
    <row r="30" spans="1:10" ht="14.4" x14ac:dyDescent="0.3">
      <c r="A30" s="34" t="s">
        <v>1</v>
      </c>
      <c r="B30" s="35"/>
      <c r="C30" s="35"/>
      <c r="D30" s="36">
        <v>9117.2999999999993</v>
      </c>
      <c r="E30" s="36">
        <v>50645.24</v>
      </c>
      <c r="F30" s="36">
        <v>55.548506685093201</v>
      </c>
      <c r="G30" s="36"/>
      <c r="H30" s="36">
        <v>3474</v>
      </c>
      <c r="I30" s="37">
        <v>84910.3</v>
      </c>
      <c r="J30" s="37">
        <v>244.41652274035701</v>
      </c>
    </row>
    <row r="31" spans="1:10" ht="14.4" x14ac:dyDescent="0.3">
      <c r="A31" s="38" t="s">
        <v>0</v>
      </c>
      <c r="B31" s="4"/>
      <c r="C31" s="4"/>
      <c r="D31" s="26">
        <v>9234.1</v>
      </c>
      <c r="E31" s="26">
        <v>52943.347482958998</v>
      </c>
      <c r="F31" s="26">
        <v>57.3346048699484</v>
      </c>
      <c r="G31" s="26"/>
      <c r="H31" s="26">
        <v>3571.3</v>
      </c>
      <c r="I31" s="26">
        <v>79007.265094638802</v>
      </c>
      <c r="J31" s="26">
        <v>221.228306484022</v>
      </c>
    </row>
    <row r="32" spans="1:10" ht="14.4" x14ac:dyDescent="0.3">
      <c r="A32" s="38" t="s">
        <v>66</v>
      </c>
      <c r="B32" s="4"/>
      <c r="C32" s="4"/>
      <c r="D32" s="26">
        <v>10667.2</v>
      </c>
      <c r="E32" s="26">
        <v>45002</v>
      </c>
      <c r="F32" s="26">
        <v>42.19</v>
      </c>
      <c r="G32" s="26"/>
      <c r="H32" s="26">
        <v>5905.5</v>
      </c>
      <c r="I32" s="26">
        <v>112257.31</v>
      </c>
      <c r="J32" s="26">
        <v>190.09</v>
      </c>
    </row>
    <row r="33" spans="1:10" ht="15" thickBot="1" x14ac:dyDescent="0.35">
      <c r="A33" s="38" t="s">
        <v>67</v>
      </c>
      <c r="B33" s="4"/>
      <c r="C33" s="4"/>
      <c r="D33" s="26">
        <v>12702.9</v>
      </c>
      <c r="E33" s="26">
        <v>52605.0450714943</v>
      </c>
      <c r="F33" s="26">
        <v>41.411839085165099</v>
      </c>
      <c r="G33" s="26"/>
      <c r="H33" s="26">
        <v>6580.1</v>
      </c>
      <c r="I33" s="26">
        <v>211744</v>
      </c>
      <c r="J33" s="26">
        <v>321.79000000000002</v>
      </c>
    </row>
    <row r="34" spans="1:10" ht="13.5" customHeight="1" thickTop="1" x14ac:dyDescent="0.3">
      <c r="A34" s="39" t="s">
        <v>68</v>
      </c>
      <c r="B34" s="39"/>
      <c r="C34" s="39"/>
      <c r="D34" s="39"/>
      <c r="E34" s="39"/>
      <c r="F34" s="39"/>
      <c r="G34" s="39"/>
      <c r="H34" s="39"/>
      <c r="I34" s="39"/>
      <c r="J34" s="39"/>
    </row>
    <row r="35" spans="1:10" ht="12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2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2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2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2.75" customHeight="1" x14ac:dyDescent="0.25">
      <c r="D46" s="40"/>
    </row>
    <row r="47" spans="1:10" ht="12.75" customHeight="1" x14ac:dyDescent="0.25">
      <c r="D47" s="40"/>
    </row>
    <row r="48" spans="1:10" ht="12.75" customHeight="1" x14ac:dyDescent="0.25">
      <c r="D48" s="40"/>
    </row>
    <row r="49" spans="4:4" ht="12.75" customHeight="1" x14ac:dyDescent="0.25">
      <c r="D49" s="40"/>
    </row>
    <row r="50" spans="4:4" ht="12.75" customHeight="1" x14ac:dyDescent="0.25">
      <c r="D50" s="40"/>
    </row>
    <row r="51" spans="4:4" ht="12.75" customHeight="1" x14ac:dyDescent="0.25">
      <c r="D51" s="40"/>
    </row>
    <row r="52" spans="4:4" ht="12.75" customHeight="1" x14ac:dyDescent="0.25">
      <c r="D52" s="40"/>
    </row>
    <row r="53" spans="4:4" ht="12.75" customHeight="1" x14ac:dyDescent="0.25">
      <c r="D53" s="40"/>
    </row>
    <row r="54" spans="4:4" ht="12.75" customHeight="1" x14ac:dyDescent="0.25">
      <c r="D54" s="40"/>
    </row>
    <row r="55" spans="4:4" ht="12.75" customHeight="1" x14ac:dyDescent="0.25">
      <c r="D55" s="40"/>
    </row>
    <row r="56" spans="4:4" ht="12.75" customHeight="1" x14ac:dyDescent="0.25">
      <c r="D56" s="40"/>
    </row>
    <row r="57" spans="4:4" ht="12.75" customHeight="1" x14ac:dyDescent="0.25">
      <c r="D57" s="40"/>
    </row>
    <row r="58" spans="4:4" ht="12.75" customHeight="1" x14ac:dyDescent="0.25">
      <c r="D58" s="40"/>
    </row>
    <row r="59" spans="4:4" ht="12.75" customHeight="1" x14ac:dyDescent="0.25">
      <c r="D59" s="40"/>
    </row>
    <row r="60" spans="4:4" ht="12.75" customHeight="1" x14ac:dyDescent="0.25">
      <c r="D60" s="40"/>
    </row>
    <row r="61" spans="4:4" ht="12.75" customHeight="1" x14ac:dyDescent="0.25">
      <c r="D61" s="40"/>
    </row>
    <row r="62" spans="4:4" ht="12.75" customHeight="1" x14ac:dyDescent="0.25">
      <c r="D62" s="40"/>
    </row>
    <row r="63" spans="4:4" ht="12.75" customHeight="1" x14ac:dyDescent="0.25">
      <c r="D63" s="40"/>
    </row>
    <row r="64" spans="4:4" ht="12.75" customHeight="1" x14ac:dyDescent="0.25">
      <c r="D64" s="40"/>
    </row>
    <row r="65" spans="4:4" ht="12.75" customHeight="1" x14ac:dyDescent="0.25">
      <c r="D65" s="40"/>
    </row>
    <row r="66" spans="4:4" ht="12.75" customHeight="1" x14ac:dyDescent="0.25">
      <c r="D66" s="40"/>
    </row>
    <row r="67" spans="4:4" ht="12.75" customHeight="1" x14ac:dyDescent="0.25">
      <c r="D67" s="40"/>
    </row>
    <row r="68" spans="4:4" ht="12.75" customHeight="1" x14ac:dyDescent="0.25">
      <c r="D68" s="40"/>
    </row>
    <row r="69" spans="4:4" ht="12.75" customHeight="1" x14ac:dyDescent="0.25">
      <c r="D69" s="40"/>
    </row>
    <row r="70" spans="4:4" ht="12.75" customHeight="1" x14ac:dyDescent="0.25">
      <c r="D70" s="40"/>
    </row>
    <row r="71" spans="4:4" ht="12.75" customHeight="1" x14ac:dyDescent="0.25">
      <c r="D71" s="40"/>
    </row>
    <row r="72" spans="4:4" ht="12.75" customHeight="1" x14ac:dyDescent="0.25">
      <c r="D72" s="40"/>
    </row>
    <row r="73" spans="4:4" ht="12.75" customHeight="1" x14ac:dyDescent="0.25">
      <c r="D73" s="40"/>
    </row>
    <row r="74" spans="4:4" ht="12.75" customHeight="1" x14ac:dyDescent="0.25">
      <c r="D74" s="40"/>
    </row>
    <row r="75" spans="4:4" ht="12.75" customHeight="1" x14ac:dyDescent="0.25">
      <c r="D75" s="40"/>
    </row>
    <row r="76" spans="4:4" ht="12.75" customHeight="1" x14ac:dyDescent="0.25">
      <c r="D76" s="40"/>
    </row>
    <row r="77" spans="4:4" ht="12.75" customHeight="1" x14ac:dyDescent="0.25">
      <c r="D77" s="40"/>
    </row>
    <row r="78" spans="4:4" ht="12.75" customHeight="1" x14ac:dyDescent="0.25">
      <c r="D78" s="40"/>
    </row>
    <row r="79" spans="4:4" ht="12.75" customHeight="1" x14ac:dyDescent="0.25">
      <c r="D79" s="40"/>
    </row>
    <row r="80" spans="4:4" ht="12.75" customHeight="1" x14ac:dyDescent="0.25">
      <c r="D80" s="40"/>
    </row>
    <row r="81" spans="4:4" ht="12.75" customHeight="1" x14ac:dyDescent="0.25">
      <c r="D81" s="40"/>
    </row>
    <row r="82" spans="4:4" ht="12.75" customHeight="1" x14ac:dyDescent="0.25">
      <c r="D82" s="40"/>
    </row>
    <row r="83" spans="4:4" ht="12.75" customHeight="1" x14ac:dyDescent="0.25">
      <c r="D83" s="40"/>
    </row>
    <row r="84" spans="4:4" ht="12.75" customHeight="1" x14ac:dyDescent="0.25">
      <c r="D84" s="40"/>
    </row>
    <row r="85" spans="4:4" ht="12.75" customHeight="1" x14ac:dyDescent="0.25">
      <c r="D85" s="40"/>
    </row>
    <row r="86" spans="4:4" ht="12.75" customHeight="1" x14ac:dyDescent="0.25">
      <c r="D86" s="40"/>
    </row>
    <row r="87" spans="4:4" ht="12.75" customHeight="1" x14ac:dyDescent="0.25">
      <c r="D87" s="40"/>
    </row>
    <row r="88" spans="4:4" ht="12.75" customHeight="1" x14ac:dyDescent="0.25">
      <c r="D88" s="40"/>
    </row>
    <row r="89" spans="4:4" ht="12.75" customHeight="1" x14ac:dyDescent="0.25">
      <c r="D89" s="40"/>
    </row>
    <row r="90" spans="4:4" ht="12.75" customHeight="1" x14ac:dyDescent="0.25">
      <c r="D90" s="40"/>
    </row>
    <row r="91" spans="4:4" ht="12.75" customHeight="1" x14ac:dyDescent="0.25">
      <c r="D91" s="40"/>
    </row>
    <row r="92" spans="4:4" ht="12.75" customHeight="1" x14ac:dyDescent="0.25">
      <c r="D92" s="40"/>
    </row>
    <row r="93" spans="4:4" ht="12.75" customHeight="1" x14ac:dyDescent="0.25">
      <c r="D93" s="40"/>
    </row>
    <row r="94" spans="4:4" ht="12.75" customHeight="1" x14ac:dyDescent="0.25">
      <c r="D94" s="40"/>
    </row>
    <row r="95" spans="4:4" ht="12.75" customHeight="1" x14ac:dyDescent="0.25">
      <c r="D95" s="40"/>
    </row>
    <row r="96" spans="4:4" ht="12.75" customHeight="1" x14ac:dyDescent="0.25">
      <c r="D96" s="40"/>
    </row>
    <row r="97" spans="4:4" ht="12.75" customHeight="1" x14ac:dyDescent="0.25">
      <c r="D97" s="40"/>
    </row>
    <row r="98" spans="4:4" ht="12.75" customHeight="1" x14ac:dyDescent="0.25">
      <c r="D98" s="40"/>
    </row>
    <row r="99" spans="4:4" ht="12.75" customHeight="1" x14ac:dyDescent="0.25">
      <c r="D99" s="40"/>
    </row>
    <row r="100" spans="4:4" ht="12.75" customHeight="1" x14ac:dyDescent="0.25">
      <c r="D100" s="40"/>
    </row>
    <row r="101" spans="4:4" ht="12.75" customHeight="1" x14ac:dyDescent="0.25">
      <c r="D101" s="40"/>
    </row>
    <row r="102" spans="4:4" ht="12.75" customHeight="1" x14ac:dyDescent="0.25">
      <c r="D102" s="40"/>
    </row>
    <row r="103" spans="4:4" ht="12.75" customHeight="1" x14ac:dyDescent="0.25">
      <c r="D103" s="40"/>
    </row>
    <row r="104" spans="4:4" ht="12.75" customHeight="1" x14ac:dyDescent="0.25">
      <c r="D104" s="40"/>
    </row>
    <row r="105" spans="4:4" ht="12.75" customHeight="1" x14ac:dyDescent="0.25">
      <c r="D105" s="40"/>
    </row>
    <row r="106" spans="4:4" ht="12.75" customHeight="1" x14ac:dyDescent="0.25">
      <c r="D106" s="40"/>
    </row>
    <row r="107" spans="4:4" ht="12.75" customHeight="1" x14ac:dyDescent="0.25">
      <c r="D107" s="40"/>
    </row>
    <row r="108" spans="4:4" ht="12.75" customHeight="1" x14ac:dyDescent="0.25">
      <c r="D108" s="40"/>
    </row>
    <row r="109" spans="4:4" ht="12.75" customHeight="1" x14ac:dyDescent="0.25">
      <c r="D109" s="40"/>
    </row>
    <row r="110" spans="4:4" ht="12.75" customHeight="1" x14ac:dyDescent="0.25">
      <c r="D110" s="40"/>
    </row>
    <row r="111" spans="4:4" ht="12.75" customHeight="1" x14ac:dyDescent="0.25">
      <c r="D111" s="40"/>
    </row>
    <row r="112" spans="4:4" ht="12.75" customHeight="1" x14ac:dyDescent="0.25">
      <c r="D112" s="40"/>
    </row>
    <row r="113" spans="4:4" ht="12.75" customHeight="1" x14ac:dyDescent="0.25">
      <c r="D113" s="40"/>
    </row>
    <row r="114" spans="4:4" ht="12.75" customHeight="1" x14ac:dyDescent="0.25">
      <c r="D114" s="40"/>
    </row>
    <row r="115" spans="4:4" ht="12.75" customHeight="1" x14ac:dyDescent="0.25">
      <c r="D115" s="40"/>
    </row>
    <row r="116" spans="4:4" ht="12.75" customHeight="1" x14ac:dyDescent="0.25">
      <c r="D116" s="40"/>
    </row>
    <row r="117" spans="4:4" ht="12.75" customHeight="1" x14ac:dyDescent="0.25">
      <c r="D117" s="40"/>
    </row>
    <row r="118" spans="4:4" ht="12.75" customHeight="1" x14ac:dyDescent="0.25">
      <c r="D118" s="40"/>
    </row>
    <row r="119" spans="4:4" ht="12.75" customHeight="1" x14ac:dyDescent="0.25">
      <c r="D119" s="40"/>
    </row>
    <row r="120" spans="4:4" ht="12.75" customHeight="1" x14ac:dyDescent="0.25">
      <c r="D120" s="40"/>
    </row>
    <row r="121" spans="4:4" ht="12.75" customHeight="1" x14ac:dyDescent="0.25">
      <c r="D121" s="40"/>
    </row>
    <row r="122" spans="4:4" ht="12.75" customHeight="1" x14ac:dyDescent="0.25">
      <c r="D122" s="40"/>
    </row>
    <row r="123" spans="4:4" ht="12.75" customHeight="1" x14ac:dyDescent="0.25">
      <c r="D123" s="40"/>
    </row>
    <row r="124" spans="4:4" ht="12.75" customHeight="1" x14ac:dyDescent="0.25">
      <c r="D124" s="40"/>
    </row>
    <row r="125" spans="4:4" ht="12.75" customHeight="1" x14ac:dyDescent="0.25">
      <c r="D125" s="40"/>
    </row>
    <row r="126" spans="4:4" ht="12.75" customHeight="1" x14ac:dyDescent="0.25">
      <c r="D126" s="40"/>
    </row>
    <row r="127" spans="4:4" ht="12.75" customHeight="1" x14ac:dyDescent="0.25">
      <c r="D127" s="40"/>
    </row>
    <row r="128" spans="4:4" ht="12.75" customHeight="1" x14ac:dyDescent="0.25">
      <c r="D128" s="40"/>
    </row>
    <row r="129" spans="4:4" ht="12.75" customHeight="1" x14ac:dyDescent="0.25">
      <c r="D129" s="40"/>
    </row>
    <row r="130" spans="4:4" ht="12.75" customHeight="1" x14ac:dyDescent="0.25">
      <c r="D130" s="40"/>
    </row>
    <row r="131" spans="4:4" ht="12.75" customHeight="1" x14ac:dyDescent="0.25">
      <c r="D131" s="40"/>
    </row>
    <row r="132" spans="4:4" ht="12.75" customHeight="1" x14ac:dyDescent="0.25">
      <c r="D132" s="40"/>
    </row>
    <row r="133" spans="4:4" ht="12.75" customHeight="1" x14ac:dyDescent="0.25">
      <c r="D133" s="40"/>
    </row>
    <row r="134" spans="4:4" ht="12.75" customHeight="1" x14ac:dyDescent="0.25">
      <c r="D134" s="40"/>
    </row>
    <row r="135" spans="4:4" ht="12.75" customHeight="1" x14ac:dyDescent="0.25">
      <c r="D135" s="40"/>
    </row>
    <row r="136" spans="4:4" ht="12.75" customHeight="1" x14ac:dyDescent="0.25">
      <c r="D136" s="40"/>
    </row>
    <row r="137" spans="4:4" ht="12.75" customHeight="1" x14ac:dyDescent="0.25">
      <c r="D137" s="40"/>
    </row>
    <row r="138" spans="4:4" ht="12.75" customHeight="1" x14ac:dyDescent="0.25">
      <c r="D138" s="40"/>
    </row>
    <row r="139" spans="4:4" ht="12.75" customHeight="1" x14ac:dyDescent="0.25">
      <c r="D139" s="40"/>
    </row>
    <row r="140" spans="4:4" ht="12.75" customHeight="1" x14ac:dyDescent="0.25">
      <c r="D140" s="40"/>
    </row>
    <row r="141" spans="4:4" ht="12.75" customHeight="1" x14ac:dyDescent="0.25">
      <c r="D141" s="40"/>
    </row>
    <row r="142" spans="4:4" ht="12.75" customHeight="1" x14ac:dyDescent="0.25">
      <c r="D142" s="40"/>
    </row>
    <row r="143" spans="4:4" ht="12.75" customHeight="1" x14ac:dyDescent="0.25">
      <c r="D143" s="40"/>
    </row>
    <row r="144" spans="4:4" ht="12.75" customHeight="1" x14ac:dyDescent="0.25">
      <c r="D144" s="40"/>
    </row>
    <row r="145" spans="4:4" ht="12.75" customHeight="1" x14ac:dyDescent="0.25">
      <c r="D145" s="40"/>
    </row>
    <row r="146" spans="4:4" ht="12.75" customHeight="1" x14ac:dyDescent="0.25">
      <c r="D146" s="40"/>
    </row>
    <row r="147" spans="4:4" ht="12.75" customHeight="1" x14ac:dyDescent="0.25">
      <c r="D147" s="40"/>
    </row>
    <row r="148" spans="4:4" ht="12.75" customHeight="1" x14ac:dyDescent="0.25">
      <c r="D148" s="40"/>
    </row>
    <row r="149" spans="4:4" ht="12.75" customHeight="1" x14ac:dyDescent="0.25">
      <c r="D149" s="40"/>
    </row>
    <row r="150" spans="4:4" ht="12.75" customHeight="1" x14ac:dyDescent="0.25">
      <c r="D150" s="40"/>
    </row>
    <row r="151" spans="4:4" ht="12.75" customHeight="1" x14ac:dyDescent="0.25">
      <c r="D151" s="40"/>
    </row>
    <row r="152" spans="4:4" ht="12.75" customHeight="1" x14ac:dyDescent="0.25">
      <c r="D152" s="40"/>
    </row>
    <row r="153" spans="4:4" ht="12.75" customHeight="1" x14ac:dyDescent="0.25">
      <c r="D153" s="40"/>
    </row>
    <row r="154" spans="4:4" ht="12.75" customHeight="1" x14ac:dyDescent="0.25">
      <c r="D154" s="40"/>
    </row>
    <row r="155" spans="4:4" ht="12.75" customHeight="1" x14ac:dyDescent="0.25">
      <c r="D155" s="40"/>
    </row>
    <row r="156" spans="4:4" ht="12.75" customHeight="1" x14ac:dyDescent="0.25">
      <c r="D156" s="40"/>
    </row>
    <row r="157" spans="4:4" ht="12.75" customHeight="1" x14ac:dyDescent="0.25">
      <c r="D157" s="40"/>
    </row>
    <row r="158" spans="4:4" ht="12.75" customHeight="1" x14ac:dyDescent="0.25">
      <c r="D158" s="40"/>
    </row>
    <row r="159" spans="4:4" ht="12.75" customHeight="1" x14ac:dyDescent="0.25">
      <c r="D159" s="40"/>
    </row>
    <row r="160" spans="4:4" ht="12.75" customHeight="1" x14ac:dyDescent="0.25">
      <c r="D160" s="40"/>
    </row>
    <row r="161" spans="4:4" ht="12.75" customHeight="1" x14ac:dyDescent="0.25">
      <c r="D161" s="40"/>
    </row>
    <row r="162" spans="4:4" ht="12.75" customHeight="1" x14ac:dyDescent="0.25">
      <c r="D162" s="40"/>
    </row>
    <row r="163" spans="4:4" ht="12.75" customHeight="1" x14ac:dyDescent="0.25">
      <c r="D163" s="40"/>
    </row>
    <row r="164" spans="4:4" ht="12.75" customHeight="1" x14ac:dyDescent="0.25">
      <c r="D164" s="40"/>
    </row>
    <row r="165" spans="4:4" ht="12.75" customHeight="1" x14ac:dyDescent="0.25">
      <c r="D165" s="40"/>
    </row>
    <row r="166" spans="4:4" ht="12.75" customHeight="1" x14ac:dyDescent="0.25">
      <c r="D166" s="40"/>
    </row>
    <row r="167" spans="4:4" ht="12.75" customHeight="1" x14ac:dyDescent="0.25">
      <c r="D167" s="40"/>
    </row>
    <row r="168" spans="4:4" ht="12.75" customHeight="1" x14ac:dyDescent="0.25">
      <c r="D168" s="40"/>
    </row>
    <row r="169" spans="4:4" ht="12.75" customHeight="1" x14ac:dyDescent="0.25">
      <c r="D169" s="40"/>
    </row>
    <row r="170" spans="4:4" ht="12.75" customHeight="1" x14ac:dyDescent="0.25">
      <c r="D170" s="40"/>
    </row>
    <row r="171" spans="4:4" ht="12.75" customHeight="1" x14ac:dyDescent="0.25">
      <c r="D171" s="40"/>
    </row>
    <row r="172" spans="4:4" ht="12.75" customHeight="1" x14ac:dyDescent="0.25">
      <c r="D172" s="40"/>
    </row>
    <row r="173" spans="4:4" ht="12.75" customHeight="1" x14ac:dyDescent="0.25">
      <c r="D173" s="40"/>
    </row>
    <row r="174" spans="4:4" ht="12.75" customHeight="1" x14ac:dyDescent="0.25">
      <c r="D174" s="40"/>
    </row>
    <row r="175" spans="4:4" ht="12.75" customHeight="1" x14ac:dyDescent="0.25">
      <c r="D175" s="40"/>
    </row>
    <row r="176" spans="4:4" ht="12.75" customHeight="1" x14ac:dyDescent="0.25">
      <c r="D176" s="40"/>
    </row>
    <row r="177" spans="4:4" ht="12.75" customHeight="1" x14ac:dyDescent="0.25">
      <c r="D177" s="40"/>
    </row>
    <row r="178" spans="4:4" ht="12.75" customHeight="1" x14ac:dyDescent="0.25">
      <c r="D178" s="40"/>
    </row>
    <row r="179" spans="4:4" ht="12.75" customHeight="1" x14ac:dyDescent="0.25">
      <c r="D179" s="40"/>
    </row>
    <row r="180" spans="4:4" ht="12.75" customHeight="1" x14ac:dyDescent="0.25">
      <c r="D180" s="40"/>
    </row>
    <row r="181" spans="4:4" ht="12.75" customHeight="1" x14ac:dyDescent="0.25">
      <c r="D181" s="40"/>
    </row>
    <row r="182" spans="4:4" ht="12.75" customHeight="1" x14ac:dyDescent="0.25">
      <c r="D182" s="40"/>
    </row>
    <row r="183" spans="4:4" ht="12.75" customHeight="1" x14ac:dyDescent="0.25">
      <c r="D183" s="40"/>
    </row>
    <row r="184" spans="4:4" ht="12.75" customHeight="1" x14ac:dyDescent="0.25">
      <c r="D184" s="40"/>
    </row>
    <row r="185" spans="4:4" ht="12.75" customHeight="1" x14ac:dyDescent="0.25">
      <c r="D185" s="40"/>
    </row>
    <row r="186" spans="4:4" ht="12.75" customHeight="1" x14ac:dyDescent="0.25">
      <c r="D186" s="40"/>
    </row>
    <row r="187" spans="4:4" ht="12.75" customHeight="1" x14ac:dyDescent="0.25">
      <c r="D187" s="40"/>
    </row>
    <row r="188" spans="4:4" ht="12.75" customHeight="1" x14ac:dyDescent="0.25">
      <c r="D188" s="40"/>
    </row>
    <row r="189" spans="4:4" ht="12.75" customHeight="1" x14ac:dyDescent="0.25">
      <c r="D189" s="40"/>
    </row>
    <row r="190" spans="4:4" ht="12.75" customHeight="1" x14ac:dyDescent="0.25">
      <c r="D190" s="40"/>
    </row>
    <row r="191" spans="4:4" ht="12.75" customHeight="1" x14ac:dyDescent="0.25">
      <c r="D191" s="40"/>
    </row>
    <row r="192" spans="4:4" ht="12.75" customHeight="1" x14ac:dyDescent="0.25">
      <c r="D192" s="40"/>
    </row>
    <row r="193" spans="4:4" ht="12.75" customHeight="1" x14ac:dyDescent="0.25">
      <c r="D193" s="40"/>
    </row>
    <row r="194" spans="4:4" ht="12.75" customHeight="1" x14ac:dyDescent="0.25">
      <c r="D194" s="40"/>
    </row>
    <row r="195" spans="4:4" ht="12.75" customHeight="1" x14ac:dyDescent="0.25">
      <c r="D195" s="40"/>
    </row>
    <row r="196" spans="4:4" ht="12.75" customHeight="1" x14ac:dyDescent="0.25">
      <c r="D196" s="40"/>
    </row>
    <row r="197" spans="4:4" ht="12.75" customHeight="1" x14ac:dyDescent="0.25">
      <c r="D197" s="40"/>
    </row>
    <row r="198" spans="4:4" ht="12.75" customHeight="1" x14ac:dyDescent="0.25">
      <c r="D198" s="40"/>
    </row>
    <row r="199" spans="4:4" ht="12.75" customHeight="1" x14ac:dyDescent="0.25">
      <c r="D199" s="40"/>
    </row>
    <row r="200" spans="4:4" ht="12.75" customHeight="1" x14ac:dyDescent="0.25">
      <c r="D200" s="40"/>
    </row>
    <row r="201" spans="4:4" ht="12.75" customHeight="1" x14ac:dyDescent="0.25">
      <c r="D201" s="40"/>
    </row>
    <row r="202" spans="4:4" ht="12.75" customHeight="1" x14ac:dyDescent="0.25">
      <c r="D202" s="40"/>
    </row>
    <row r="203" spans="4:4" ht="12.75" customHeight="1" x14ac:dyDescent="0.25">
      <c r="D203" s="40"/>
    </row>
    <row r="204" spans="4:4" ht="12.75" customHeight="1" x14ac:dyDescent="0.25">
      <c r="D204" s="40"/>
    </row>
    <row r="205" spans="4:4" ht="12.75" customHeight="1" x14ac:dyDescent="0.25">
      <c r="D205" s="40"/>
    </row>
    <row r="206" spans="4:4" ht="12.75" customHeight="1" x14ac:dyDescent="0.25">
      <c r="D206" s="40"/>
    </row>
    <row r="207" spans="4:4" ht="12.75" customHeight="1" x14ac:dyDescent="0.25">
      <c r="D207" s="40"/>
    </row>
    <row r="208" spans="4:4" ht="12.75" customHeight="1" x14ac:dyDescent="0.25">
      <c r="D208" s="40"/>
    </row>
    <row r="209" spans="4:4" ht="12.75" customHeight="1" x14ac:dyDescent="0.25">
      <c r="D209" s="40"/>
    </row>
    <row r="210" spans="4:4" ht="12.75" customHeight="1" x14ac:dyDescent="0.25">
      <c r="D210" s="40"/>
    </row>
    <row r="211" spans="4:4" ht="12.75" customHeight="1" x14ac:dyDescent="0.25">
      <c r="D211" s="40"/>
    </row>
    <row r="212" spans="4:4" ht="12.75" customHeight="1" x14ac:dyDescent="0.25">
      <c r="D212" s="40"/>
    </row>
    <row r="213" spans="4:4" ht="12.75" customHeight="1" x14ac:dyDescent="0.25">
      <c r="D213" s="40"/>
    </row>
    <row r="214" spans="4:4" ht="12.75" customHeight="1" x14ac:dyDescent="0.25">
      <c r="D214" s="40"/>
    </row>
    <row r="215" spans="4:4" ht="12.75" customHeight="1" x14ac:dyDescent="0.25">
      <c r="D215" s="40"/>
    </row>
    <row r="216" spans="4:4" ht="12.75" customHeight="1" x14ac:dyDescent="0.25">
      <c r="D216" s="40"/>
    </row>
    <row r="217" spans="4:4" ht="12.75" customHeight="1" x14ac:dyDescent="0.25">
      <c r="D217" s="40"/>
    </row>
    <row r="218" spans="4:4" ht="12.75" customHeight="1" x14ac:dyDescent="0.25">
      <c r="D218" s="40"/>
    </row>
    <row r="219" spans="4:4" ht="12.75" customHeight="1" x14ac:dyDescent="0.25">
      <c r="D219" s="40"/>
    </row>
    <row r="220" spans="4:4" ht="12.75" customHeight="1" x14ac:dyDescent="0.25">
      <c r="D220" s="40"/>
    </row>
    <row r="221" spans="4:4" ht="12.75" customHeight="1" x14ac:dyDescent="0.25">
      <c r="D221" s="40"/>
    </row>
    <row r="222" spans="4:4" ht="12.75" customHeight="1" x14ac:dyDescent="0.25">
      <c r="D222" s="40"/>
    </row>
    <row r="223" spans="4:4" ht="12.75" customHeight="1" x14ac:dyDescent="0.25">
      <c r="D223" s="40"/>
    </row>
    <row r="224" spans="4:4" ht="12.75" customHeight="1" x14ac:dyDescent="0.25">
      <c r="D224" s="40"/>
    </row>
    <row r="225" spans="4:4" ht="12.75" customHeight="1" x14ac:dyDescent="0.25">
      <c r="D225" s="40"/>
    </row>
    <row r="226" spans="4:4" ht="12.75" customHeight="1" x14ac:dyDescent="0.25">
      <c r="D226" s="40"/>
    </row>
    <row r="227" spans="4:4" ht="12.75" customHeight="1" x14ac:dyDescent="0.25">
      <c r="D227" s="40"/>
    </row>
    <row r="228" spans="4:4" ht="12.75" customHeight="1" x14ac:dyDescent="0.25">
      <c r="D228" s="40"/>
    </row>
    <row r="229" spans="4:4" ht="12.75" customHeight="1" x14ac:dyDescent="0.25">
      <c r="D229" s="40"/>
    </row>
    <row r="230" spans="4:4" ht="12.75" customHeight="1" x14ac:dyDescent="0.25">
      <c r="D230" s="40"/>
    </row>
    <row r="231" spans="4:4" ht="12.75" customHeight="1" x14ac:dyDescent="0.25">
      <c r="D231" s="40"/>
    </row>
    <row r="232" spans="4:4" ht="12.75" customHeight="1" x14ac:dyDescent="0.25">
      <c r="D232" s="40"/>
    </row>
    <row r="233" spans="4:4" ht="12.75" customHeight="1" x14ac:dyDescent="0.25">
      <c r="D233" s="40"/>
    </row>
    <row r="234" spans="4:4" ht="12.75" customHeight="1" x14ac:dyDescent="0.25">
      <c r="D234" s="40"/>
    </row>
    <row r="235" spans="4:4" ht="15.75" customHeight="1" x14ac:dyDescent="0.25"/>
    <row r="236" spans="4:4" ht="15.75" customHeight="1" x14ac:dyDescent="0.25"/>
    <row r="237" spans="4:4" ht="15.75" customHeight="1" x14ac:dyDescent="0.25"/>
    <row r="238" spans="4:4" ht="15.75" customHeight="1" x14ac:dyDescent="0.25"/>
    <row r="239" spans="4:4" ht="15.75" customHeight="1" x14ac:dyDescent="0.25"/>
    <row r="240" spans="4: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0">
    <mergeCell ref="A33:C33"/>
    <mergeCell ref="A32:C32"/>
    <mergeCell ref="A31:C31"/>
    <mergeCell ref="A30:C30"/>
    <mergeCell ref="A29:C29"/>
    <mergeCell ref="A7:C7"/>
    <mergeCell ref="A3:C6"/>
    <mergeCell ref="D3:F3"/>
    <mergeCell ref="H3:J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2025-07-10T03:55:36Z</dcterms:created>
  <dcterms:modified xsi:type="dcterms:W3CDTF">2025-07-10T03:56:45Z</dcterms:modified>
</cp:coreProperties>
</file>