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A3F411D0-0571-42EF-83AD-1C6FED0A9B70}" xr6:coauthVersionLast="47" xr6:coauthVersionMax="47" xr10:uidLastSave="{00000000-0000-0000-0000-000000000000}"/>
  <bookViews>
    <workbookView xWindow="28680" yWindow="-120" windowWidth="29040" windowHeight="15720" xr2:uid="{33EC9CDD-0806-4294-9EC6-BC6DA021D2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2" i="1" l="1"/>
  <c r="F32" i="1"/>
  <c r="I31" i="1"/>
  <c r="F31" i="1"/>
  <c r="I30" i="1"/>
  <c r="F30" i="1"/>
  <c r="I29" i="1"/>
  <c r="F29" i="1"/>
  <c r="H28" i="1"/>
  <c r="G28" i="1"/>
  <c r="E28" i="1"/>
  <c r="D28" i="1"/>
  <c r="F26" i="1"/>
  <c r="F23" i="1"/>
  <c r="F21" i="1"/>
  <c r="F19" i="1"/>
  <c r="F16" i="1"/>
  <c r="F14" i="1"/>
  <c r="F13" i="1"/>
  <c r="I12" i="1"/>
  <c r="F12" i="1"/>
  <c r="I11" i="1"/>
  <c r="F11" i="1"/>
  <c r="F10" i="1"/>
  <c r="I9" i="1"/>
  <c r="F9" i="1"/>
  <c r="I8" i="1"/>
  <c r="F8" i="1"/>
  <c r="F28" i="1" l="1"/>
  <c r="I28" i="1"/>
</calcChain>
</file>

<file path=xl/sharedStrings.xml><?xml version="1.0" encoding="utf-8"?>
<sst xmlns="http://schemas.openxmlformats.org/spreadsheetml/2006/main" count="78" uniqueCount="69">
  <si>
    <t>Tahun 2019</t>
  </si>
  <si>
    <t>Tahun 2020</t>
  </si>
  <si>
    <t>Tahun 2021</t>
  </si>
  <si>
    <t>Tabel : 5.1.3</t>
  </si>
  <si>
    <r>
      <rPr>
        <b/>
        <sz val="11"/>
        <color theme="1"/>
        <rFont val="Calibri"/>
        <family val="2"/>
      </rPr>
      <t>Lanjutan</t>
    </r>
    <r>
      <rPr>
        <sz val="11"/>
        <color theme="1"/>
        <rFont val="Calibri"/>
        <family val="2"/>
      </rPr>
      <t>/</t>
    </r>
    <r>
      <rPr>
        <i/>
        <sz val="11"/>
        <color theme="1"/>
        <rFont val="Calibri"/>
        <family val="2"/>
      </rPr>
      <t>Continued</t>
    </r>
  </si>
  <si>
    <t>Tahun 2022</t>
  </si>
  <si>
    <t>Tahun 2023</t>
  </si>
  <si>
    <t>Table</t>
  </si>
  <si>
    <r>
      <rPr>
        <sz val="9"/>
        <color theme="1"/>
        <rFont val="Calibri"/>
        <family val="2"/>
      </rPr>
      <t xml:space="preserve">Kecamatan             </t>
    </r>
    <r>
      <rPr>
        <i/>
        <sz val="9"/>
        <color theme="1"/>
        <rFont val="Calibri"/>
        <family val="2"/>
      </rPr>
      <t>Subdistrict</t>
    </r>
  </si>
  <si>
    <r>
      <rPr>
        <sz val="9"/>
        <color theme="1"/>
        <rFont val="Calibri"/>
        <family val="2"/>
      </rPr>
      <t xml:space="preserve">Kacang Tanah                                    </t>
    </r>
    <r>
      <rPr>
        <i/>
        <sz val="9"/>
        <color theme="1"/>
        <rFont val="Calibri"/>
        <family val="2"/>
      </rPr>
      <t>Peanut</t>
    </r>
  </si>
  <si>
    <r>
      <rPr>
        <sz val="9"/>
        <color theme="1"/>
        <rFont val="Calibri"/>
        <family val="2"/>
      </rPr>
      <t xml:space="preserve">Kedelai                                            </t>
    </r>
    <r>
      <rPr>
        <i/>
        <sz val="9"/>
        <color theme="1"/>
        <rFont val="Calibri"/>
        <family val="2"/>
      </rPr>
      <t>Soybean</t>
    </r>
  </si>
  <si>
    <t>Luas Panen</t>
  </si>
  <si>
    <t>Produksi</t>
  </si>
  <si>
    <t>Rata-rata Produksi</t>
  </si>
  <si>
    <t>Harvested Area</t>
  </si>
  <si>
    <t>Production</t>
  </si>
  <si>
    <t>Yield Rate</t>
  </si>
  <si>
    <t>(Ha)</t>
  </si>
  <si>
    <t>(Ton)</t>
  </si>
  <si>
    <t>(Ku/Ha)</t>
  </si>
  <si>
    <t>(1)</t>
  </si>
  <si>
    <t>(17)</t>
  </si>
  <si>
    <t>(18)</t>
  </si>
  <si>
    <t>(19)</t>
  </si>
  <si>
    <t>(20)</t>
  </si>
  <si>
    <t>(21)</t>
  </si>
  <si>
    <t>(22)</t>
  </si>
  <si>
    <t>01.</t>
  </si>
  <si>
    <t>Susukan</t>
  </si>
  <si>
    <t>02.</t>
  </si>
  <si>
    <t>Purwareja Klampok</t>
  </si>
  <si>
    <t>03.</t>
  </si>
  <si>
    <t>Mandiraja</t>
  </si>
  <si>
    <t>04.</t>
  </si>
  <si>
    <t>Purwanegara</t>
  </si>
  <si>
    <t>05.</t>
  </si>
  <si>
    <t>B a w a n g</t>
  </si>
  <si>
    <t>06.</t>
  </si>
  <si>
    <t>Banjarnegara</t>
  </si>
  <si>
    <t>07.</t>
  </si>
  <si>
    <t>Pagedongan</t>
  </si>
  <si>
    <t>08.</t>
  </si>
  <si>
    <t>S i g a l u h</t>
  </si>
  <si>
    <t>09.</t>
  </si>
  <si>
    <t>Madukara</t>
  </si>
  <si>
    <t>10.</t>
  </si>
  <si>
    <t>Banjarmangu</t>
  </si>
  <si>
    <t>11.</t>
  </si>
  <si>
    <t>Wanadadi</t>
  </si>
  <si>
    <t>12.</t>
  </si>
  <si>
    <t>R a k i t</t>
  </si>
  <si>
    <t>13.</t>
  </si>
  <si>
    <t>Punggelan</t>
  </si>
  <si>
    <t>14.</t>
  </si>
  <si>
    <t>Karangkobar</t>
  </si>
  <si>
    <t>15.</t>
  </si>
  <si>
    <t>Pagentan</t>
  </si>
  <si>
    <t>16.</t>
  </si>
  <si>
    <t>Pejawaran</t>
  </si>
  <si>
    <t>17.</t>
  </si>
  <si>
    <t>B a t u r</t>
  </si>
  <si>
    <t>18.</t>
  </si>
  <si>
    <t>Wanayasa</t>
  </si>
  <si>
    <t>19.</t>
  </si>
  <si>
    <t>Kalibening</t>
  </si>
  <si>
    <t>20.</t>
  </si>
  <si>
    <t>Pandanarum</t>
  </si>
  <si>
    <t>J u m l a h</t>
  </si>
  <si>
    <t xml:space="preserve">Sumber Data  :  Dinas Pertanian dan Perikanan Kab. Banjarnegara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</si>
</sst>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64" formatCode="_-* #,##0.00_-;\-* #,##0.00_-;_-* &quot;-&quot;_-;_-@_-"/>
    <numFmt numFmtId="165" formatCode="_-* #,##0.00_-;\-* #,##0.00_-;_-* &quot;-&quot;_-;_-@"/>
    <numFmt numFmtId="168" formatCode="_(* #,##0_);_(* \(#,##0\);_(* \-??_);_(@_)"/>
    <numFmt numFmtId="169" formatCode="_(* #,##0.00_);_(* \(#,##0.00\);_(* \-??_);_(@_)"/>
  </numFmts>
  <fonts count="11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i/>
      <sz val="11"/>
      <color theme="1"/>
      <name val="Calibri"/>
      <family val="2"/>
    </font>
    <font>
      <sz val="9"/>
      <color theme="1"/>
      <name val="Calibri"/>
      <family val="2"/>
    </font>
    <font>
      <sz val="10"/>
      <name val="Arial"/>
      <family val="2"/>
    </font>
    <font>
      <i/>
      <sz val="9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6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41" fontId="5" fillId="0" borderId="0" applyFont="0" applyFill="0" applyBorder="0" applyAlignment="0" applyProtection="0"/>
  </cellStyleXfs>
  <cellXfs count="38">
    <xf numFmtId="0" fontId="0" fillId="0" borderId="0" xfId="0"/>
    <xf numFmtId="0" fontId="2" fillId="0" borderId="0" xfId="1" applyFont="1" applyAlignment="1">
      <alignment horizontal="left" shrinkToFit="1"/>
    </xf>
    <xf numFmtId="0" fontId="1" fillId="0" borderId="0" xfId="1"/>
    <xf numFmtId="0" fontId="3" fillId="0" borderId="0" xfId="1" applyFont="1"/>
    <xf numFmtId="0" fontId="4" fillId="0" borderId="0" xfId="1" applyFont="1"/>
    <xf numFmtId="0" fontId="3" fillId="0" borderId="0" xfId="1" applyFont="1" applyAlignment="1">
      <alignment horizontal="center"/>
    </xf>
    <xf numFmtId="0" fontId="1" fillId="0" borderId="0" xfId="1"/>
    <xf numFmtId="164" fontId="3" fillId="0" borderId="0" xfId="2" applyNumberFormat="1" applyFont="1" applyAlignment="1">
      <alignment horizontal="right"/>
    </xf>
    <xf numFmtId="0" fontId="7" fillId="0" borderId="0" xfId="1" applyFont="1" applyAlignment="1">
      <alignment vertical="top"/>
    </xf>
    <xf numFmtId="0" fontId="8" fillId="0" borderId="1" xfId="1" applyFont="1" applyBorder="1" applyAlignment="1">
      <alignment horizontal="center" vertical="center" wrapText="1"/>
    </xf>
    <xf numFmtId="0" fontId="9" fillId="0" borderId="1" xfId="1" applyFont="1" applyBorder="1"/>
    <xf numFmtId="0" fontId="8" fillId="0" borderId="2" xfId="1" applyFont="1" applyBorder="1" applyAlignment="1">
      <alignment horizontal="center" vertical="center" wrapText="1"/>
    </xf>
    <xf numFmtId="0" fontId="9" fillId="0" borderId="2" xfId="1" applyFont="1" applyBorder="1"/>
    <xf numFmtId="0" fontId="8" fillId="0" borderId="0" xfId="1" applyFont="1" applyAlignment="1">
      <alignment horizontal="center" wrapText="1"/>
    </xf>
    <xf numFmtId="0" fontId="8" fillId="0" borderId="3" xfId="1" applyFont="1" applyBorder="1" applyAlignment="1">
      <alignment horizontal="center" wrapText="1"/>
    </xf>
    <xf numFmtId="0" fontId="10" fillId="0" borderId="0" xfId="1" applyFont="1" applyAlignment="1">
      <alignment horizontal="center" vertical="top" wrapText="1"/>
    </xf>
    <xf numFmtId="0" fontId="9" fillId="0" borderId="4" xfId="1" applyFont="1" applyBorder="1"/>
    <xf numFmtId="0" fontId="8" fillId="0" borderId="0" xfId="1" applyFont="1" applyAlignment="1">
      <alignment horizontal="center" vertical="center" wrapText="1"/>
    </xf>
    <xf numFmtId="0" fontId="8" fillId="0" borderId="5" xfId="1" applyFont="1" applyBorder="1" applyAlignment="1">
      <alignment horizontal="center" vertical="center"/>
    </xf>
    <xf numFmtId="0" fontId="9" fillId="0" borderId="5" xfId="1" applyFont="1" applyBorder="1"/>
    <xf numFmtId="0" fontId="8" fillId="0" borderId="5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 vertical="center"/>
    </xf>
    <xf numFmtId="165" fontId="6" fillId="0" borderId="0" xfId="1" applyNumberFormat="1" applyFont="1" applyAlignment="1">
      <alignment horizontal="right"/>
    </xf>
    <xf numFmtId="165" fontId="6" fillId="0" borderId="0" xfId="1" applyNumberFormat="1" applyFont="1"/>
    <xf numFmtId="165" fontId="6" fillId="0" borderId="0" xfId="1" applyNumberFormat="1" applyFont="1" applyAlignment="1">
      <alignment horizontal="center"/>
    </xf>
    <xf numFmtId="168" fontId="3" fillId="2" borderId="5" xfId="1" applyNumberFormat="1" applyFont="1" applyFill="1" applyBorder="1" applyAlignment="1">
      <alignment horizontal="center" vertical="center"/>
    </xf>
    <xf numFmtId="169" fontId="3" fillId="2" borderId="3" xfId="1" applyNumberFormat="1" applyFont="1" applyFill="1" applyBorder="1" applyAlignment="1">
      <alignment horizontal="left" vertical="center"/>
    </xf>
    <xf numFmtId="165" fontId="3" fillId="2" borderId="3" xfId="1" applyNumberFormat="1" applyFont="1" applyFill="1" applyBorder="1" applyAlignment="1">
      <alignment horizontal="left" vertical="center"/>
    </xf>
    <xf numFmtId="169" fontId="4" fillId="0" borderId="3" xfId="1" applyNumberFormat="1" applyFont="1" applyBorder="1" applyAlignment="1">
      <alignment horizontal="left" vertical="center"/>
    </xf>
    <xf numFmtId="165" fontId="4" fillId="0" borderId="3" xfId="1" applyNumberFormat="1" applyFont="1" applyBorder="1" applyAlignment="1">
      <alignment horizontal="center" vertical="center"/>
    </xf>
    <xf numFmtId="0" fontId="9" fillId="0" borderId="3" xfId="1" applyFont="1" applyBorder="1"/>
    <xf numFmtId="165" fontId="3" fillId="0" borderId="3" xfId="1" applyNumberFormat="1" applyFont="1" applyBorder="1" applyAlignment="1">
      <alignment horizontal="left" vertical="center"/>
    </xf>
    <xf numFmtId="165" fontId="4" fillId="0" borderId="0" xfId="1" applyNumberFormat="1" applyFont="1" applyAlignment="1">
      <alignment horizontal="center" vertical="center"/>
    </xf>
    <xf numFmtId="165" fontId="4" fillId="0" borderId="0" xfId="1" applyNumberFormat="1" applyFont="1" applyAlignment="1">
      <alignment horizontal="left" vertical="center"/>
    </xf>
    <xf numFmtId="165" fontId="3" fillId="0" borderId="0" xfId="1" applyNumberFormat="1" applyFont="1" applyAlignment="1">
      <alignment horizontal="left" vertical="center"/>
    </xf>
    <xf numFmtId="0" fontId="4" fillId="0" borderId="1" xfId="1" applyFont="1" applyBorder="1" applyAlignment="1">
      <alignment horizontal="left"/>
    </xf>
    <xf numFmtId="0" fontId="4" fillId="0" borderId="0" xfId="1" applyFont="1" applyAlignment="1">
      <alignment vertical="top"/>
    </xf>
  </cellXfs>
  <cellStyles count="3">
    <cellStyle name="Comma [0] 3" xfId="2" xr:uid="{37A63617-6495-49BC-8C6F-381C3307891B}"/>
    <cellStyle name="Normal" xfId="0" builtinId="0"/>
    <cellStyle name="Normal 4" xfId="1" xr:uid="{B356A627-FD28-46FF-B043-7032FFB3A68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28B17-8FAF-4C27-AB85-EFBF3FAD5C20}">
  <dimension ref="A1:I996"/>
  <sheetViews>
    <sheetView tabSelected="1" workbookViewId="0">
      <selection activeCell="M12" sqref="M12"/>
    </sheetView>
  </sheetViews>
  <sheetFormatPr defaultColWidth="14.44140625" defaultRowHeight="13.2" x14ac:dyDescent="0.25"/>
  <cols>
    <col min="1" max="1" width="3.77734375" style="6" customWidth="1"/>
    <col min="2" max="2" width="8.77734375" style="6" customWidth="1"/>
    <col min="3" max="3" width="4.77734375" style="6" customWidth="1"/>
    <col min="4" max="4" width="9.77734375" style="6" customWidth="1"/>
    <col min="5" max="5" width="10.21875" style="6" customWidth="1"/>
    <col min="6" max="6" width="8.21875" style="6" customWidth="1"/>
    <col min="7" max="7" width="9.77734375" style="6" customWidth="1"/>
    <col min="8" max="8" width="10.5546875" style="6" customWidth="1"/>
    <col min="9" max="9" width="7.77734375" style="6" customWidth="1"/>
    <col min="10" max="16384" width="14.44140625" style="6"/>
  </cols>
  <sheetData>
    <row r="1" spans="1:9" ht="14.4" x14ac:dyDescent="0.3">
      <c r="A1" s="1" t="s">
        <v>3</v>
      </c>
      <c r="B1" s="2"/>
      <c r="C1" s="3" t="s">
        <v>4</v>
      </c>
      <c r="D1" s="4"/>
      <c r="E1" s="5"/>
      <c r="F1" s="5"/>
      <c r="G1" s="5"/>
      <c r="H1" s="5"/>
      <c r="I1" s="7" t="s">
        <v>6</v>
      </c>
    </row>
    <row r="2" spans="1:9" ht="15" thickBot="1" x14ac:dyDescent="0.35">
      <c r="A2" s="8" t="s">
        <v>7</v>
      </c>
      <c r="B2" s="5"/>
      <c r="C2" s="5"/>
      <c r="D2" s="5"/>
      <c r="E2" s="3"/>
      <c r="F2" s="3"/>
      <c r="G2" s="3"/>
      <c r="H2" s="3"/>
      <c r="I2" s="3"/>
    </row>
    <row r="3" spans="1:9" ht="27.75" customHeight="1" thickTop="1" x14ac:dyDescent="0.25">
      <c r="A3" s="9" t="s">
        <v>8</v>
      </c>
      <c r="B3" s="10"/>
      <c r="C3" s="10"/>
      <c r="D3" s="11" t="s">
        <v>9</v>
      </c>
      <c r="E3" s="12"/>
      <c r="F3" s="12"/>
      <c r="G3" s="11" t="s">
        <v>10</v>
      </c>
      <c r="H3" s="12"/>
      <c r="I3" s="12"/>
    </row>
    <row r="4" spans="1:9" ht="12.75" customHeight="1" x14ac:dyDescent="0.25">
      <c r="A4" s="2"/>
      <c r="B4" s="2"/>
      <c r="C4" s="2"/>
      <c r="D4" s="13" t="s">
        <v>11</v>
      </c>
      <c r="E4" s="14" t="s">
        <v>12</v>
      </c>
      <c r="F4" s="13" t="s">
        <v>13</v>
      </c>
      <c r="G4" s="13" t="s">
        <v>11</v>
      </c>
      <c r="H4" s="14" t="s">
        <v>12</v>
      </c>
      <c r="I4" s="13" t="s">
        <v>13</v>
      </c>
    </row>
    <row r="5" spans="1:9" ht="24" x14ac:dyDescent="0.25">
      <c r="A5" s="2"/>
      <c r="B5" s="2"/>
      <c r="C5" s="2"/>
      <c r="D5" s="15" t="s">
        <v>14</v>
      </c>
      <c r="E5" s="15" t="s">
        <v>15</v>
      </c>
      <c r="F5" s="15" t="s">
        <v>16</v>
      </c>
      <c r="G5" s="15" t="s">
        <v>14</v>
      </c>
      <c r="H5" s="15" t="s">
        <v>15</v>
      </c>
      <c r="I5" s="15" t="s">
        <v>16</v>
      </c>
    </row>
    <row r="6" spans="1:9" x14ac:dyDescent="0.25">
      <c r="A6" s="16"/>
      <c r="B6" s="16"/>
      <c r="C6" s="16"/>
      <c r="D6" s="17" t="s">
        <v>17</v>
      </c>
      <c r="E6" s="17" t="s">
        <v>18</v>
      </c>
      <c r="F6" s="17" t="s">
        <v>19</v>
      </c>
      <c r="G6" s="17" t="s">
        <v>17</v>
      </c>
      <c r="H6" s="17" t="s">
        <v>18</v>
      </c>
      <c r="I6" s="17" t="s">
        <v>19</v>
      </c>
    </row>
    <row r="7" spans="1:9" x14ac:dyDescent="0.25">
      <c r="A7" s="18" t="s">
        <v>20</v>
      </c>
      <c r="B7" s="19"/>
      <c r="C7" s="19"/>
      <c r="D7" s="20" t="s">
        <v>21</v>
      </c>
      <c r="E7" s="20" t="s">
        <v>22</v>
      </c>
      <c r="F7" s="20" t="s">
        <v>23</v>
      </c>
      <c r="G7" s="20" t="s">
        <v>24</v>
      </c>
      <c r="H7" s="20" t="s">
        <v>25</v>
      </c>
      <c r="I7" s="20" t="s">
        <v>26</v>
      </c>
    </row>
    <row r="8" spans="1:9" ht="7.5" hidden="1" customHeight="1" x14ac:dyDescent="0.3">
      <c r="A8" s="21" t="s">
        <v>27</v>
      </c>
      <c r="B8" s="22" t="s">
        <v>28</v>
      </c>
      <c r="C8" s="22"/>
      <c r="D8" s="23">
        <v>2</v>
      </c>
      <c r="E8" s="23">
        <v>5</v>
      </c>
      <c r="F8" s="23">
        <f>SUM(E8/D8)*10</f>
        <v>25</v>
      </c>
      <c r="G8" s="24">
        <v>100</v>
      </c>
      <c r="H8" s="24">
        <v>120</v>
      </c>
      <c r="I8" s="23">
        <f>SUM(H8/G8)*10</f>
        <v>12</v>
      </c>
    </row>
    <row r="9" spans="1:9" ht="14.4" x14ac:dyDescent="0.3">
      <c r="A9" s="21" t="s">
        <v>29</v>
      </c>
      <c r="B9" s="22" t="s">
        <v>30</v>
      </c>
      <c r="C9" s="22"/>
      <c r="D9" s="23">
        <v>16</v>
      </c>
      <c r="E9" s="23">
        <v>40</v>
      </c>
      <c r="F9" s="23">
        <f t="shared" ref="F9:F26" si="0">SUM(E9/D9)*10</f>
        <v>25</v>
      </c>
      <c r="G9" s="24">
        <v>8</v>
      </c>
      <c r="H9" s="24">
        <v>8.8000000000000007</v>
      </c>
      <c r="I9" s="23">
        <f t="shared" ref="I9:I12" si="1">SUM(H9/G9)*10</f>
        <v>11</v>
      </c>
    </row>
    <row r="10" spans="1:9" ht="14.4" x14ac:dyDescent="0.3">
      <c r="A10" s="21" t="s">
        <v>31</v>
      </c>
      <c r="B10" s="22" t="s">
        <v>32</v>
      </c>
      <c r="C10" s="22"/>
      <c r="D10" s="23">
        <v>1</v>
      </c>
      <c r="E10" s="23">
        <v>2.9</v>
      </c>
      <c r="F10" s="23">
        <f t="shared" si="0"/>
        <v>29</v>
      </c>
      <c r="G10" s="24">
        <v>0</v>
      </c>
      <c r="H10" s="24">
        <v>0</v>
      </c>
      <c r="I10" s="24">
        <v>0</v>
      </c>
    </row>
    <row r="11" spans="1:9" ht="14.4" x14ac:dyDescent="0.3">
      <c r="A11" s="21" t="s">
        <v>33</v>
      </c>
      <c r="B11" s="22" t="s">
        <v>34</v>
      </c>
      <c r="C11" s="22"/>
      <c r="D11" s="23">
        <v>97</v>
      </c>
      <c r="E11" s="23">
        <v>236</v>
      </c>
      <c r="F11" s="23">
        <f t="shared" si="0"/>
        <v>24.329896907216494</v>
      </c>
      <c r="G11" s="24">
        <v>160</v>
      </c>
      <c r="H11" s="24">
        <v>161</v>
      </c>
      <c r="I11" s="23">
        <f t="shared" si="1"/>
        <v>10.0625</v>
      </c>
    </row>
    <row r="12" spans="1:9" ht="14.4" x14ac:dyDescent="0.3">
      <c r="A12" s="21" t="s">
        <v>35</v>
      </c>
      <c r="B12" s="22" t="s">
        <v>36</v>
      </c>
      <c r="C12" s="22"/>
      <c r="D12" s="23">
        <v>113</v>
      </c>
      <c r="E12" s="23">
        <v>251.9</v>
      </c>
      <c r="F12" s="23">
        <f t="shared" si="0"/>
        <v>22.292035398230091</v>
      </c>
      <c r="G12" s="24">
        <v>13</v>
      </c>
      <c r="H12" s="24">
        <v>18.7</v>
      </c>
      <c r="I12" s="23">
        <f t="shared" si="1"/>
        <v>14.384615384615385</v>
      </c>
    </row>
    <row r="13" spans="1:9" ht="14.4" x14ac:dyDescent="0.3">
      <c r="A13" s="21" t="s">
        <v>37</v>
      </c>
      <c r="B13" s="22" t="s">
        <v>38</v>
      </c>
      <c r="C13" s="22"/>
      <c r="D13" s="23">
        <v>27</v>
      </c>
      <c r="E13" s="23">
        <v>63.2</v>
      </c>
      <c r="F13" s="23">
        <f t="shared" si="0"/>
        <v>23.407407407407412</v>
      </c>
      <c r="G13" s="24">
        <v>0</v>
      </c>
      <c r="H13" s="24">
        <v>0</v>
      </c>
      <c r="I13" s="23">
        <v>0</v>
      </c>
    </row>
    <row r="14" spans="1:9" ht="14.4" x14ac:dyDescent="0.3">
      <c r="A14" s="21" t="s">
        <v>39</v>
      </c>
      <c r="B14" s="22" t="s">
        <v>40</v>
      </c>
      <c r="C14" s="22"/>
      <c r="D14" s="23">
        <v>3</v>
      </c>
      <c r="E14" s="23">
        <v>4.62</v>
      </c>
      <c r="F14" s="23">
        <f t="shared" si="0"/>
        <v>15.4</v>
      </c>
      <c r="G14" s="24">
        <v>0</v>
      </c>
      <c r="H14" s="24">
        <v>0</v>
      </c>
      <c r="I14" s="23">
        <v>0</v>
      </c>
    </row>
    <row r="15" spans="1:9" ht="14.4" x14ac:dyDescent="0.3">
      <c r="A15" s="21" t="s">
        <v>41</v>
      </c>
      <c r="B15" s="22" t="s">
        <v>42</v>
      </c>
      <c r="C15" s="22"/>
      <c r="D15" s="23">
        <v>0</v>
      </c>
      <c r="E15" s="23">
        <v>0</v>
      </c>
      <c r="F15" s="23">
        <v>0</v>
      </c>
      <c r="G15" s="24">
        <v>0</v>
      </c>
      <c r="H15" s="24">
        <v>0</v>
      </c>
      <c r="I15" s="23">
        <v>0</v>
      </c>
    </row>
    <row r="16" spans="1:9" ht="14.4" x14ac:dyDescent="0.3">
      <c r="A16" s="21" t="s">
        <v>43</v>
      </c>
      <c r="B16" s="22" t="s">
        <v>44</v>
      </c>
      <c r="C16" s="22"/>
      <c r="D16" s="23">
        <v>26</v>
      </c>
      <c r="E16" s="23">
        <v>103.8</v>
      </c>
      <c r="F16" s="23">
        <f t="shared" si="0"/>
        <v>39.92307692307692</v>
      </c>
      <c r="G16" s="24">
        <v>0</v>
      </c>
      <c r="H16" s="24">
        <v>0</v>
      </c>
      <c r="I16" s="23">
        <v>0</v>
      </c>
    </row>
    <row r="17" spans="1:9" ht="14.4" x14ac:dyDescent="0.3">
      <c r="A17" s="21" t="s">
        <v>45</v>
      </c>
      <c r="B17" s="22" t="s">
        <v>46</v>
      </c>
      <c r="C17" s="22"/>
      <c r="D17" s="25">
        <v>0</v>
      </c>
      <c r="E17" s="25">
        <v>0</v>
      </c>
      <c r="F17" s="25">
        <v>0</v>
      </c>
      <c r="G17" s="24">
        <v>0</v>
      </c>
      <c r="H17" s="24">
        <v>0</v>
      </c>
      <c r="I17" s="23">
        <v>0</v>
      </c>
    </row>
    <row r="18" spans="1:9" ht="14.4" x14ac:dyDescent="0.3">
      <c r="A18" s="21" t="s">
        <v>47</v>
      </c>
      <c r="B18" s="22" t="s">
        <v>48</v>
      </c>
      <c r="C18" s="22"/>
      <c r="D18" s="23">
        <v>0</v>
      </c>
      <c r="E18" s="23">
        <v>0</v>
      </c>
      <c r="F18" s="23">
        <v>0</v>
      </c>
      <c r="G18" s="24">
        <v>0</v>
      </c>
      <c r="H18" s="24">
        <v>0</v>
      </c>
      <c r="I18" s="23">
        <v>0</v>
      </c>
    </row>
    <row r="19" spans="1:9" ht="14.4" x14ac:dyDescent="0.3">
      <c r="A19" s="21" t="s">
        <v>49</v>
      </c>
      <c r="B19" s="22" t="s">
        <v>50</v>
      </c>
      <c r="C19" s="22"/>
      <c r="D19" s="23">
        <v>20</v>
      </c>
      <c r="E19" s="23">
        <v>52</v>
      </c>
      <c r="F19" s="23">
        <f t="shared" si="0"/>
        <v>26</v>
      </c>
      <c r="G19" s="24">
        <v>0</v>
      </c>
      <c r="H19" s="24">
        <v>0</v>
      </c>
      <c r="I19" s="23">
        <v>0</v>
      </c>
    </row>
    <row r="20" spans="1:9" ht="14.4" x14ac:dyDescent="0.3">
      <c r="A20" s="21" t="s">
        <v>51</v>
      </c>
      <c r="B20" s="22" t="s">
        <v>52</v>
      </c>
      <c r="C20" s="22"/>
      <c r="D20" s="25">
        <v>0</v>
      </c>
      <c r="E20" s="25">
        <v>0</v>
      </c>
      <c r="F20" s="25">
        <v>0</v>
      </c>
      <c r="G20" s="24">
        <v>0</v>
      </c>
      <c r="H20" s="24">
        <v>0</v>
      </c>
      <c r="I20" s="23">
        <v>0</v>
      </c>
    </row>
    <row r="21" spans="1:9" ht="14.4" x14ac:dyDescent="0.3">
      <c r="A21" s="21" t="s">
        <v>53</v>
      </c>
      <c r="B21" s="22" t="s">
        <v>54</v>
      </c>
      <c r="C21" s="22"/>
      <c r="D21" s="23">
        <v>4</v>
      </c>
      <c r="E21" s="23">
        <v>10.4</v>
      </c>
      <c r="F21" s="23">
        <f t="shared" si="0"/>
        <v>26</v>
      </c>
      <c r="G21" s="24">
        <v>0</v>
      </c>
      <c r="H21" s="24">
        <v>0</v>
      </c>
      <c r="I21" s="23">
        <v>0</v>
      </c>
    </row>
    <row r="22" spans="1:9" ht="14.4" x14ac:dyDescent="0.3">
      <c r="A22" s="21" t="s">
        <v>55</v>
      </c>
      <c r="B22" s="22" t="s">
        <v>56</v>
      </c>
      <c r="C22" s="22"/>
      <c r="D22" s="25">
        <v>0</v>
      </c>
      <c r="E22" s="25">
        <v>0</v>
      </c>
      <c r="F22" s="25">
        <v>0</v>
      </c>
      <c r="G22" s="24">
        <v>0</v>
      </c>
      <c r="H22" s="24">
        <v>0</v>
      </c>
      <c r="I22" s="23">
        <v>0</v>
      </c>
    </row>
    <row r="23" spans="1:9" ht="14.4" x14ac:dyDescent="0.3">
      <c r="A23" s="21" t="s">
        <v>57</v>
      </c>
      <c r="B23" s="22" t="s">
        <v>58</v>
      </c>
      <c r="C23" s="22"/>
      <c r="D23" s="23">
        <v>11</v>
      </c>
      <c r="E23" s="23">
        <v>29.52</v>
      </c>
      <c r="F23" s="23">
        <f t="shared" si="0"/>
        <v>26.836363636363636</v>
      </c>
      <c r="G23" s="24">
        <v>0</v>
      </c>
      <c r="H23" s="24">
        <v>0</v>
      </c>
      <c r="I23" s="23">
        <v>0</v>
      </c>
    </row>
    <row r="24" spans="1:9" ht="14.4" x14ac:dyDescent="0.3">
      <c r="A24" s="21" t="s">
        <v>59</v>
      </c>
      <c r="B24" s="22" t="s">
        <v>60</v>
      </c>
      <c r="C24" s="22"/>
      <c r="D24" s="25">
        <v>0</v>
      </c>
      <c r="E24" s="25">
        <v>0</v>
      </c>
      <c r="F24" s="25">
        <v>0</v>
      </c>
      <c r="G24" s="24">
        <v>0</v>
      </c>
      <c r="H24" s="24">
        <v>0</v>
      </c>
      <c r="I24" s="23">
        <v>0</v>
      </c>
    </row>
    <row r="25" spans="1:9" ht="14.4" x14ac:dyDescent="0.3">
      <c r="A25" s="21" t="s">
        <v>61</v>
      </c>
      <c r="B25" s="22" t="s">
        <v>62</v>
      </c>
      <c r="C25" s="22"/>
      <c r="D25" s="25">
        <v>0</v>
      </c>
      <c r="E25" s="25">
        <v>0</v>
      </c>
      <c r="F25" s="25">
        <v>0</v>
      </c>
      <c r="G25" s="24">
        <v>0</v>
      </c>
      <c r="H25" s="24">
        <v>0</v>
      </c>
      <c r="I25" s="23">
        <v>0</v>
      </c>
    </row>
    <row r="26" spans="1:9" ht="14.4" x14ac:dyDescent="0.3">
      <c r="A26" s="21" t="s">
        <v>63</v>
      </c>
      <c r="B26" s="22" t="s">
        <v>64</v>
      </c>
      <c r="C26" s="22"/>
      <c r="D26" s="25">
        <v>2</v>
      </c>
      <c r="E26" s="25">
        <v>4.0999999999999996</v>
      </c>
      <c r="F26" s="23">
        <f t="shared" si="0"/>
        <v>20.5</v>
      </c>
      <c r="G26" s="24">
        <v>0</v>
      </c>
      <c r="H26" s="24">
        <v>0</v>
      </c>
      <c r="I26" s="23">
        <v>0</v>
      </c>
    </row>
    <row r="27" spans="1:9" ht="14.4" x14ac:dyDescent="0.3">
      <c r="A27" s="21" t="s">
        <v>65</v>
      </c>
      <c r="B27" s="22" t="s">
        <v>66</v>
      </c>
      <c r="C27" s="22"/>
      <c r="D27" s="23">
        <v>0</v>
      </c>
      <c r="E27" s="25">
        <v>0</v>
      </c>
      <c r="F27" s="25">
        <v>0</v>
      </c>
      <c r="G27" s="24">
        <v>0</v>
      </c>
      <c r="H27" s="24">
        <v>0</v>
      </c>
      <c r="I27" s="23">
        <v>0</v>
      </c>
    </row>
    <row r="28" spans="1:9" ht="14.4" x14ac:dyDescent="0.25">
      <c r="A28" s="26" t="s">
        <v>67</v>
      </c>
      <c r="B28" s="19"/>
      <c r="C28" s="19"/>
      <c r="D28" s="27">
        <f>SUM(D8:D27)</f>
        <v>322</v>
      </c>
      <c r="E28" s="27">
        <f>SUM(E8:E27)</f>
        <v>803.43999999999994</v>
      </c>
      <c r="F28" s="28">
        <f>SUM(E28/D28)*10</f>
        <v>24.951552795031056</v>
      </c>
      <c r="G28" s="27">
        <f>SUM(G8:G27)</f>
        <v>281</v>
      </c>
      <c r="H28" s="27">
        <f>SUM(H8:H27)</f>
        <v>308.5</v>
      </c>
      <c r="I28" s="28">
        <f>SUM(H28/G28)*10</f>
        <v>10.978647686832741</v>
      </c>
    </row>
    <row r="29" spans="1:9" ht="14.4" x14ac:dyDescent="0.25">
      <c r="A29" s="30" t="s">
        <v>5</v>
      </c>
      <c r="B29" s="31"/>
      <c r="C29" s="31"/>
      <c r="D29" s="29">
        <v>426</v>
      </c>
      <c r="E29" s="29">
        <v>1113.4499999999998</v>
      </c>
      <c r="F29" s="32">
        <f t="shared" ref="F29:F32" si="2">SUM(E29/D29)*10</f>
        <v>26.137323943661968</v>
      </c>
      <c r="G29" s="29">
        <v>288</v>
      </c>
      <c r="H29" s="29">
        <v>355.7</v>
      </c>
      <c r="I29" s="32">
        <f t="shared" ref="I29:I32" si="3">SUM(H29/G29)*10</f>
        <v>12.350694444444443</v>
      </c>
    </row>
    <row r="30" spans="1:9" ht="14.4" x14ac:dyDescent="0.25">
      <c r="A30" s="33" t="s">
        <v>2</v>
      </c>
      <c r="B30" s="2"/>
      <c r="C30" s="2"/>
      <c r="D30" s="34">
        <v>668</v>
      </c>
      <c r="E30" s="34">
        <v>1403.7</v>
      </c>
      <c r="F30" s="35">
        <f t="shared" si="2"/>
        <v>21.013473053892216</v>
      </c>
      <c r="G30" s="34">
        <v>459</v>
      </c>
      <c r="H30" s="34">
        <v>635.44000000000005</v>
      </c>
      <c r="I30" s="35">
        <f t="shared" si="3"/>
        <v>13.844008714596951</v>
      </c>
    </row>
    <row r="31" spans="1:9" ht="14.4" x14ac:dyDescent="0.25">
      <c r="A31" s="33" t="s">
        <v>1</v>
      </c>
      <c r="B31" s="2"/>
      <c r="C31" s="2"/>
      <c r="D31" s="34">
        <v>2589</v>
      </c>
      <c r="E31" s="34">
        <v>9890</v>
      </c>
      <c r="F31" s="35">
        <f t="shared" si="2"/>
        <v>38.200077249903437</v>
      </c>
      <c r="G31" s="34">
        <v>572</v>
      </c>
      <c r="H31" s="34">
        <v>838.4</v>
      </c>
      <c r="I31" s="35">
        <f t="shared" si="3"/>
        <v>14.657342657342658</v>
      </c>
    </row>
    <row r="32" spans="1:9" ht="15" thickBot="1" x14ac:dyDescent="0.3">
      <c r="A32" s="33" t="s">
        <v>0</v>
      </c>
      <c r="B32" s="2"/>
      <c r="C32" s="2"/>
      <c r="D32" s="34">
        <v>534.1</v>
      </c>
      <c r="E32" s="34">
        <v>582.55999999999995</v>
      </c>
      <c r="F32" s="35">
        <f t="shared" si="2"/>
        <v>10.907320726455719</v>
      </c>
      <c r="G32" s="34">
        <v>589.1</v>
      </c>
      <c r="H32" s="34">
        <v>661.44</v>
      </c>
      <c r="I32" s="35">
        <f t="shared" si="3"/>
        <v>11.227974876930913</v>
      </c>
    </row>
    <row r="33" spans="1:9" ht="15" thickTop="1" x14ac:dyDescent="0.3">
      <c r="A33" s="36" t="s">
        <v>68</v>
      </c>
      <c r="B33" s="10"/>
      <c r="C33" s="10"/>
      <c r="D33" s="10"/>
      <c r="E33" s="10"/>
      <c r="F33" s="10"/>
      <c r="G33" s="10"/>
      <c r="H33" s="10"/>
      <c r="I33" s="10"/>
    </row>
    <row r="34" spans="1:9" ht="14.4" x14ac:dyDescent="0.3">
      <c r="A34" s="4"/>
      <c r="B34" s="4"/>
      <c r="C34" s="4"/>
      <c r="D34" s="4"/>
      <c r="E34" s="4"/>
      <c r="F34" s="4"/>
      <c r="G34" s="4"/>
      <c r="H34" s="4"/>
      <c r="I34" s="4"/>
    </row>
    <row r="35" spans="1:9" ht="12.75" customHeight="1" x14ac:dyDescent="0.3">
      <c r="A35" s="37"/>
      <c r="B35" s="4"/>
      <c r="C35" s="4"/>
      <c r="D35" s="4"/>
      <c r="E35" s="4"/>
      <c r="F35" s="4"/>
      <c r="G35" s="4"/>
      <c r="H35" s="4"/>
      <c r="I35" s="4"/>
    </row>
    <row r="36" spans="1:9" ht="12.75" customHeight="1" x14ac:dyDescent="0.3">
      <c r="A36" s="4"/>
      <c r="B36" s="4"/>
      <c r="C36" s="4"/>
      <c r="D36" s="4"/>
      <c r="E36" s="4"/>
      <c r="F36" s="4"/>
      <c r="G36" s="4"/>
      <c r="H36" s="4"/>
      <c r="I36" s="4"/>
    </row>
    <row r="37" spans="1:9" ht="12.75" customHeight="1" x14ac:dyDescent="0.3">
      <c r="A37" s="4"/>
      <c r="B37" s="4"/>
      <c r="C37" s="4"/>
      <c r="D37" s="4"/>
      <c r="E37" s="4"/>
      <c r="F37" s="4"/>
      <c r="G37" s="4"/>
      <c r="H37" s="4"/>
      <c r="I37" s="4"/>
    </row>
    <row r="38" spans="1:9" ht="12.75" customHeight="1" x14ac:dyDescent="0.3">
      <c r="A38" s="4"/>
      <c r="B38" s="4"/>
      <c r="C38" s="4"/>
      <c r="D38" s="4"/>
      <c r="E38" s="4"/>
      <c r="F38" s="4"/>
      <c r="G38" s="4"/>
      <c r="H38" s="4"/>
      <c r="I38" s="4"/>
    </row>
    <row r="39" spans="1:9" ht="12.75" customHeight="1" x14ac:dyDescent="0.3">
      <c r="A39" s="4"/>
      <c r="B39" s="4"/>
      <c r="C39" s="4"/>
      <c r="D39" s="4"/>
      <c r="E39" s="4"/>
      <c r="F39" s="4"/>
      <c r="G39" s="4"/>
      <c r="H39" s="4"/>
      <c r="I39" s="4"/>
    </row>
    <row r="40" spans="1:9" ht="12.75" customHeight="1" x14ac:dyDescent="0.3">
      <c r="A40" s="4"/>
      <c r="B40" s="4"/>
      <c r="C40" s="4"/>
      <c r="D40" s="4"/>
      <c r="E40" s="4"/>
      <c r="F40" s="4"/>
      <c r="G40" s="4"/>
      <c r="H40" s="4"/>
      <c r="I40" s="4"/>
    </row>
    <row r="41" spans="1:9" ht="12.75" customHeight="1" x14ac:dyDescent="0.3">
      <c r="A41" s="4"/>
      <c r="B41" s="4"/>
      <c r="C41" s="4"/>
      <c r="D41" s="4"/>
      <c r="E41" s="4"/>
      <c r="F41" s="4"/>
      <c r="G41" s="4"/>
      <c r="H41" s="4"/>
      <c r="I41" s="4"/>
    </row>
    <row r="42" spans="1:9" ht="12.75" customHeight="1" x14ac:dyDescent="0.3">
      <c r="A42" s="4"/>
      <c r="B42" s="4"/>
      <c r="C42" s="4"/>
      <c r="D42" s="4"/>
      <c r="E42" s="4"/>
      <c r="F42" s="4"/>
      <c r="G42" s="4"/>
      <c r="H42" s="4"/>
      <c r="I42" s="4"/>
    </row>
    <row r="43" spans="1:9" ht="12.75" customHeight="1" x14ac:dyDescent="0.3">
      <c r="A43" s="4"/>
      <c r="B43" s="4"/>
      <c r="C43" s="4"/>
      <c r="D43" s="4"/>
      <c r="E43" s="4"/>
      <c r="F43" s="4"/>
      <c r="G43" s="4"/>
      <c r="H43" s="4"/>
      <c r="I43" s="4"/>
    </row>
    <row r="44" spans="1:9" ht="12.75" customHeight="1" x14ac:dyDescent="0.25"/>
    <row r="45" spans="1:9" ht="12.75" customHeight="1" x14ac:dyDescent="0.25"/>
    <row r="46" spans="1:9" ht="12.75" customHeight="1" x14ac:dyDescent="0.25"/>
    <row r="47" spans="1:9" ht="12.75" customHeight="1" x14ac:dyDescent="0.25"/>
    <row r="48" spans="1:9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</sheetData>
  <mergeCells count="11">
    <mergeCell ref="A33:I33"/>
    <mergeCell ref="A32:C32"/>
    <mergeCell ref="A31:C31"/>
    <mergeCell ref="A30:C30"/>
    <mergeCell ref="A28:C28"/>
    <mergeCell ref="A29:C29"/>
    <mergeCell ref="A7:C7"/>
    <mergeCell ref="A3:C6"/>
    <mergeCell ref="D3:F3"/>
    <mergeCell ref="G3:I3"/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2025-07-10T03:58:27Z</dcterms:created>
  <dcterms:modified xsi:type="dcterms:W3CDTF">2025-07-10T04:01:07Z</dcterms:modified>
</cp:coreProperties>
</file>