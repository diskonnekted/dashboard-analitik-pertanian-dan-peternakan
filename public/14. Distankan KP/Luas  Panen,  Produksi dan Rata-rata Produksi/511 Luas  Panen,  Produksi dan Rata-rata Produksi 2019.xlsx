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AAFA8FC-FA2E-4E7A-BC90-9AA046168003}" xr6:coauthVersionLast="47" xr6:coauthVersionMax="47" xr10:uidLastSave="{00000000-0000-0000-0000-000000000000}"/>
  <bookViews>
    <workbookView xWindow="28680" yWindow="-120" windowWidth="29040" windowHeight="15720" xr2:uid="{88EEAEE1-0896-4A65-8743-7625D90AC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H33" i="1"/>
  <c r="E33" i="1"/>
  <c r="D33" i="1"/>
  <c r="J33" i="1" l="1"/>
  <c r="F33" i="1"/>
</calcChain>
</file>

<file path=xl/sharedStrings.xml><?xml version="1.0" encoding="utf-8"?>
<sst xmlns="http://schemas.openxmlformats.org/spreadsheetml/2006/main" count="132" uniqueCount="74">
  <si>
    <t>Luas  Panen,  Produksi dan Rata-rata Produksi</t>
  </si>
  <si>
    <r>
      <t>Tabel</t>
    </r>
    <r>
      <rPr>
        <b/>
        <sz val="11"/>
        <rFont val="Calibri"/>
        <family val="2"/>
      </rPr>
      <t xml:space="preserve"> : 5.1.1.</t>
    </r>
  </si>
  <si>
    <t>Table</t>
  </si>
  <si>
    <t>Tanaman Pangan di Kab. Banjarnegara Menurut</t>
  </si>
  <si>
    <t>Kecamatan dan Jenis Tanaman Tahun 2019</t>
  </si>
  <si>
    <t>Harvested Area, Production, and Yield Rate of Food Crops</t>
  </si>
  <si>
    <t>by Subdistrict and Commodity in Banjarnegara 2018</t>
  </si>
  <si>
    <r>
      <t xml:space="preserve">Kecamatan                    </t>
    </r>
    <r>
      <rPr>
        <i/>
        <sz val="9"/>
        <rFont val="Calibri"/>
        <family val="2"/>
      </rPr>
      <t>Subdistrict</t>
    </r>
  </si>
  <si>
    <r>
      <t xml:space="preserve">Padi Sawah                                                        </t>
    </r>
    <r>
      <rPr>
        <i/>
        <sz val="9"/>
        <rFont val="Calibri"/>
        <family val="2"/>
      </rPr>
      <t>Rice Field Paddy</t>
    </r>
  </si>
  <si>
    <r>
      <t xml:space="preserve">Padi Ladang                                               </t>
    </r>
    <r>
      <rPr>
        <i/>
        <sz val="9"/>
        <rFont val="Calibri"/>
        <family val="2"/>
      </rPr>
      <t>Farm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</si>
  <si>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</si>
  <si>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</si>
  <si>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</si>
  <si>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</si>
  <si>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</si>
  <si>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</si>
  <si>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</si>
  <si>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</si>
  <si>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(Kw/Ha)</t>
  </si>
  <si>
    <t>(Ku/Ha)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</si>
  <si>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</si>
  <si>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</si>
  <si>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</si>
  <si>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</si>
  <si>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</si>
  <si>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</si>
  <si>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</si>
  <si>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</si>
  <si>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</si>
  <si>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</si>
  <si>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</si>
  <si>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</si>
  <si>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</si>
  <si>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</si>
  <si>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</si>
  <si>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</si>
  <si>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</si>
  <si>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-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</si>
  <si>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</si>
  <si>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</si>
  <si>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</si>
  <si>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</si>
  <si>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</si>
  <si>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</si>
  <si>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</si>
  <si>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</si>
  <si>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</si>
  <si>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</si>
  <si>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</si>
  <si>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</si>
  <si>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</si>
  <si>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</si>
  <si>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</si>
  <si>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</si>
  <si>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</si>
  <si>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</si>
  <si>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</si>
  <si>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</si>
  <si>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</si>
  <si>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</si>
  <si>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</si>
  <si>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</si>
  <si>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</si>
  <si>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</si>
  <si>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</si>
  <si>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</si>
  <si>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</si>
  <si>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</si>
  <si>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</si>
  <si>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</si>
  <si>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</si>
  <si>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2016</t>
  </si>
  <si>
    <t>Tahun 2015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</si>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</sst>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(* #,##0.00_);_(* \(#,##0.00\);_(* \-_);_(@_)"/>
    <numFmt numFmtId="166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  <family val="2"/>
    </font>
    <font>
      <sz val="9"/>
      <color theme="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7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9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9" fillId="0" borderId="2" xfId="1" applyFont="1" applyBorder="1" applyAlignment="1">
      <alignment horizontal="center" vertical="center" wrapText="1"/>
    </xf>
    <xf numFmtId="0" fontId="11" fillId="0" borderId="2" xfId="1" applyFont="1" applyBorder="1"/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wrapText="1"/>
    </xf>
    <xf numFmtId="0" fontId="9" fillId="0" borderId="3" xfId="1" applyFont="1" applyBorder="1" applyAlignment="1">
      <alignment horizontal="center" wrapText="1"/>
    </xf>
    <xf numFmtId="0" fontId="12" fillId="0" borderId="0" xfId="1" applyFont="1" applyAlignment="1">
      <alignment horizontal="center" vertical="top" wrapText="1"/>
    </xf>
    <xf numFmtId="0" fontId="11" fillId="0" borderId="4" xfId="1" applyFont="1" applyBorder="1"/>
    <xf numFmtId="0" fontId="9" fillId="0" borderId="0" xfId="1" applyFont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1" fillId="0" borderId="0" xfId="1" applyAlignment="1">
      <alignment vertical="top"/>
    </xf>
    <xf numFmtId="0" fontId="9" fillId="0" borderId="5" xfId="1" applyFont="1" applyBorder="1" applyAlignment="1">
      <alignment horizontal="center" vertical="center"/>
    </xf>
    <xf numFmtId="0" fontId="11" fillId="0" borderId="5" xfId="1" applyFont="1" applyBorder="1"/>
    <xf numFmtId="0" fontId="9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quotePrefix="1" applyFont="1" applyAlignment="1">
      <alignment horizontal="center"/>
    </xf>
    <xf numFmtId="165" fontId="4" fillId="0" borderId="3" xfId="1" applyNumberFormat="1" applyFont="1" applyBorder="1" applyAlignment="1">
      <alignment horizontal="center" vertical="center"/>
    </xf>
    <xf numFmtId="166" fontId="4" fillId="0" borderId="0" xfId="1" applyNumberFormat="1" applyFont="1"/>
    <xf numFmtId="0" fontId="4" fillId="0" borderId="3" xfId="1" applyFont="1" applyBorder="1" applyAlignment="1">
      <alignment horizontal="center" vertical="center"/>
    </xf>
    <xf numFmtId="0" fontId="11" fillId="0" borderId="3" xfId="1" applyFont="1" applyBorder="1"/>
    <xf numFmtId="165" fontId="9" fillId="0" borderId="3" xfId="1" applyNumberFormat="1" applyFont="1" applyBorder="1" applyAlignment="1">
      <alignment horizontal="left" vertical="center"/>
    </xf>
    <xf numFmtId="165" fontId="9" fillId="2" borderId="3" xfId="1" applyNumberFormat="1" applyFont="1" applyFill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165" fontId="9" fillId="0" borderId="0" xfId="1" applyNumberFormat="1" applyFont="1" applyAlignment="1">
      <alignment horizontal="left" vertical="center"/>
    </xf>
    <xf numFmtId="0" fontId="4" fillId="0" borderId="1" xfId="1" applyFont="1" applyBorder="1"/>
    <xf numFmtId="0" fontId="4" fillId="0" borderId="0" xfId="1" applyFont="1" applyAlignment="1">
      <alignment vertical="top"/>
    </xf>
  </cellXfs>
  <cellStyles count="3">
    <cellStyle name="Comma [0] 3" xfId="2" xr:uid="{005CC138-F526-4CFB-BEA9-3C5746AAACB3}"/>
    <cellStyle name="Normal" xfId="0" builtinId="0"/>
    <cellStyle name="Normal 4" xfId="1" xr:uid="{ADEB36BF-1745-49EB-8C66-1B1BB1030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03C1-0CA8-4BCE-8DC8-4571E9261F1F}">
  <dimension ref="A1:AY1000"/>
  <sheetViews>
    <sheetView tabSelected="1" workbookViewId="0">
      <selection activeCell="C1" sqref="C1:J1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5.21875" style="5" customWidth="1"/>
    <col min="4" max="4" width="11.21875" style="5" customWidth="1"/>
    <col min="5" max="5" width="14.44140625" style="5"/>
    <col min="6" max="6" width="7.77734375" style="5" customWidth="1"/>
    <col min="7" max="7" width="0.5546875" style="5" customWidth="1"/>
    <col min="8" max="8" width="9.44140625" style="5" customWidth="1"/>
    <col min="9" max="9" width="10.77734375" style="5" customWidth="1"/>
    <col min="10" max="10" width="8" style="5" customWidth="1"/>
    <col min="11" max="16384" width="14.44140625" style="5"/>
  </cols>
  <sheetData>
    <row r="1" spans="1:10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  <c r="I1" s="2"/>
      <c r="J1" s="2"/>
    </row>
    <row r="2" spans="1:10" ht="12.75" customHeight="1" x14ac:dyDescent="0.3">
      <c r="A2" s="6" t="s">
        <v>2</v>
      </c>
      <c r="B2" s="7"/>
      <c r="C2" s="7"/>
      <c r="D2" s="8" t="s">
        <v>3</v>
      </c>
      <c r="E2" s="8"/>
      <c r="F2" s="8"/>
      <c r="G2" s="8"/>
      <c r="H2" s="8"/>
      <c r="I2" s="8"/>
      <c r="J2" s="8"/>
    </row>
    <row r="3" spans="1:10" ht="12.75" customHeight="1" x14ac:dyDescent="0.3">
      <c r="A3" s="7"/>
      <c r="B3" s="7"/>
      <c r="C3" s="9" t="s">
        <v>4</v>
      </c>
      <c r="D3" s="2"/>
      <c r="E3" s="2"/>
      <c r="F3" s="2"/>
      <c r="G3" s="2"/>
      <c r="H3" s="2"/>
      <c r="I3" s="2"/>
      <c r="J3" s="2"/>
    </row>
    <row r="4" spans="1:10" ht="12.75" customHeight="1" x14ac:dyDescent="0.3">
      <c r="A4" s="7"/>
      <c r="B4" s="7"/>
      <c r="C4" s="10" t="s">
        <v>5</v>
      </c>
      <c r="D4" s="2"/>
      <c r="E4" s="2"/>
      <c r="F4" s="2"/>
      <c r="G4" s="2"/>
      <c r="H4" s="2"/>
      <c r="I4" s="2"/>
      <c r="J4" s="2"/>
    </row>
    <row r="5" spans="1:10" ht="12.75" customHeight="1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  <c r="J5" s="2"/>
    </row>
    <row r="6" spans="1:10" ht="6.75" hidden="1" customHeight="1" thickBo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26.25" customHeight="1" thickTop="1" x14ac:dyDescent="0.25">
      <c r="A7" s="12" t="s">
        <v>7</v>
      </c>
      <c r="B7" s="13"/>
      <c r="C7" s="13"/>
      <c r="D7" s="14" t="s">
        <v>8</v>
      </c>
      <c r="E7" s="15"/>
      <c r="F7" s="15"/>
      <c r="G7" s="16"/>
      <c r="H7" s="14" t="s">
        <v>9</v>
      </c>
      <c r="I7" s="15"/>
      <c r="J7" s="15"/>
    </row>
    <row r="8" spans="1:10" ht="12.75" customHeight="1" x14ac:dyDescent="0.25">
      <c r="A8" s="2"/>
      <c r="B8" s="2"/>
      <c r="C8" s="2"/>
      <c r="D8" s="17" t="s">
        <v>10</v>
      </c>
      <c r="E8" s="18" t="s">
        <v>11</v>
      </c>
      <c r="F8" s="17" t="s">
        <v>12</v>
      </c>
      <c r="G8" s="17"/>
      <c r="H8" s="17" t="s">
        <v>10</v>
      </c>
      <c r="I8" s="18" t="s">
        <v>11</v>
      </c>
      <c r="J8" s="17" t="s">
        <v>12</v>
      </c>
    </row>
    <row r="9" spans="1:10" ht="24" x14ac:dyDescent="0.25">
      <c r="A9" s="2"/>
      <c r="B9" s="2"/>
      <c r="C9" s="2"/>
      <c r="D9" s="19" t="s">
        <v>13</v>
      </c>
      <c r="E9" s="19" t="s">
        <v>14</v>
      </c>
      <c r="F9" s="19" t="s">
        <v>15</v>
      </c>
      <c r="G9" s="19"/>
      <c r="H9" s="19" t="s">
        <v>13</v>
      </c>
      <c r="I9" s="19" t="s">
        <v>14</v>
      </c>
      <c r="J9" s="19" t="s">
        <v>15</v>
      </c>
    </row>
    <row r="10" spans="1:10" s="23" customFormat="1" ht="18.75" customHeight="1" x14ac:dyDescent="0.3">
      <c r="A10" s="20"/>
      <c r="B10" s="20"/>
      <c r="C10" s="20"/>
      <c r="D10" s="21" t="s">
        <v>16</v>
      </c>
      <c r="E10" s="21" t="s">
        <v>17</v>
      </c>
      <c r="F10" s="21" t="s">
        <v>18</v>
      </c>
      <c r="G10" s="22"/>
      <c r="H10" s="21" t="s">
        <v>16</v>
      </c>
      <c r="I10" s="21" t="s">
        <v>17</v>
      </c>
      <c r="J10" s="21" t="s">
        <v>19</v>
      </c>
    </row>
    <row r="11" spans="1:10" x14ac:dyDescent="0.25">
      <c r="A11" s="24" t="s">
        <v>20</v>
      </c>
      <c r="B11" s="25"/>
      <c r="C11" s="25"/>
      <c r="D11" s="26" t="s">
        <v>21</v>
      </c>
      <c r="E11" s="26" t="s">
        <v>22</v>
      </c>
      <c r="F11" s="26" t="s">
        <v>23</v>
      </c>
      <c r="G11" s="26"/>
      <c r="H11" s="26" t="s">
        <v>24</v>
      </c>
      <c r="I11" s="26" t="s">
        <v>25</v>
      </c>
      <c r="J11" s="26" t="s">
        <v>26</v>
      </c>
    </row>
    <row r="12" spans="1:10" ht="0.75" customHeight="1" x14ac:dyDescent="0.3">
      <c r="A12" s="4"/>
      <c r="B12" s="28"/>
      <c r="C12" s="28"/>
      <c r="D12" s="28"/>
      <c r="E12" s="4"/>
      <c r="F12" s="4"/>
      <c r="G12" s="4"/>
      <c r="H12" s="4"/>
      <c r="I12" s="4"/>
      <c r="J12" s="4"/>
    </row>
    <row r="13" spans="1:10" ht="14.4" x14ac:dyDescent="0.3">
      <c r="A13" s="29" t="s">
        <v>27</v>
      </c>
      <c r="B13" s="30" t="s">
        <v>28</v>
      </c>
      <c r="C13" s="30"/>
      <c r="D13" s="31">
        <v>2127.3000000000002</v>
      </c>
      <c r="E13" s="31">
        <v>13529.63</v>
      </c>
      <c r="F13" s="31">
        <v>63.6</v>
      </c>
      <c r="G13" s="32"/>
      <c r="H13" s="31">
        <v>190.7</v>
      </c>
      <c r="I13" s="31">
        <v>829.55</v>
      </c>
      <c r="J13" s="31">
        <v>43.5</v>
      </c>
    </row>
    <row r="14" spans="1:10" ht="14.4" x14ac:dyDescent="0.3">
      <c r="A14" s="29" t="s">
        <v>29</v>
      </c>
      <c r="B14" s="30" t="s">
        <v>30</v>
      </c>
      <c r="C14" s="30"/>
      <c r="D14" s="31">
        <v>1469.3</v>
      </c>
      <c r="E14" s="31">
        <v>9236.81</v>
      </c>
      <c r="F14" s="31">
        <v>62.87</v>
      </c>
      <c r="G14" s="32"/>
      <c r="H14" s="31">
        <v>12.4</v>
      </c>
      <c r="I14" s="31">
        <v>49.87</v>
      </c>
      <c r="J14" s="31">
        <v>40.22</v>
      </c>
    </row>
    <row r="15" spans="1:10" ht="14.4" x14ac:dyDescent="0.3">
      <c r="A15" s="29" t="s">
        <v>31</v>
      </c>
      <c r="B15" s="30" t="s">
        <v>32</v>
      </c>
      <c r="C15" s="30"/>
      <c r="D15" s="31">
        <v>3002.6</v>
      </c>
      <c r="E15" s="31">
        <v>19976.3</v>
      </c>
      <c r="F15" s="31">
        <v>66.53</v>
      </c>
      <c r="G15" s="32"/>
      <c r="H15" s="31">
        <v>398.6</v>
      </c>
      <c r="I15" s="31">
        <v>1811.24</v>
      </c>
      <c r="J15" s="31">
        <v>45.44</v>
      </c>
    </row>
    <row r="16" spans="1:10" ht="14.4" x14ac:dyDescent="0.3">
      <c r="A16" s="29" t="s">
        <v>33</v>
      </c>
      <c r="B16" s="30" t="s">
        <v>34</v>
      </c>
      <c r="C16" s="30"/>
      <c r="D16" s="31">
        <v>2567.8000000000002</v>
      </c>
      <c r="E16" s="31">
        <v>17088.71</v>
      </c>
      <c r="F16" s="31">
        <v>66.55</v>
      </c>
      <c r="G16" s="32"/>
      <c r="H16" s="31">
        <v>124</v>
      </c>
      <c r="I16" s="31">
        <v>538.66</v>
      </c>
      <c r="J16" s="31">
        <v>43.44</v>
      </c>
    </row>
    <row r="17" spans="1:10" ht="14.4" x14ac:dyDescent="0.3">
      <c r="A17" s="29" t="s">
        <v>35</v>
      </c>
      <c r="B17" s="30" t="s">
        <v>36</v>
      </c>
      <c r="C17" s="30"/>
      <c r="D17" s="31">
        <v>2229.3000000000002</v>
      </c>
      <c r="E17" s="31">
        <v>14454.95</v>
      </c>
      <c r="F17" s="31">
        <v>64.84</v>
      </c>
      <c r="G17" s="32"/>
      <c r="H17" s="33" t="s">
        <v>37</v>
      </c>
      <c r="I17" s="33" t="s">
        <v>37</v>
      </c>
      <c r="J17" s="33" t="s">
        <v>37</v>
      </c>
    </row>
    <row r="18" spans="1:10" ht="14.4" x14ac:dyDescent="0.3">
      <c r="A18" s="29" t="s">
        <v>38</v>
      </c>
      <c r="B18" s="30" t="s">
        <v>39</v>
      </c>
      <c r="C18" s="30"/>
      <c r="D18" s="31">
        <v>858.2</v>
      </c>
      <c r="E18" s="31">
        <v>5291.66</v>
      </c>
      <c r="F18" s="31">
        <v>61.66</v>
      </c>
      <c r="G18" s="32"/>
      <c r="H18" s="33" t="s">
        <v>37</v>
      </c>
      <c r="I18" s="33" t="s">
        <v>37</v>
      </c>
      <c r="J18" s="33" t="s">
        <v>37</v>
      </c>
    </row>
    <row r="19" spans="1:10" ht="14.4" x14ac:dyDescent="0.3">
      <c r="A19" s="29" t="s">
        <v>40</v>
      </c>
      <c r="B19" s="30" t="s">
        <v>41</v>
      </c>
      <c r="C19" s="30"/>
      <c r="D19" s="31">
        <v>326.10000000000002</v>
      </c>
      <c r="E19" s="31">
        <v>1957.58</v>
      </c>
      <c r="F19" s="31">
        <v>60.03</v>
      </c>
      <c r="G19" s="32"/>
      <c r="H19" s="33" t="s">
        <v>37</v>
      </c>
      <c r="I19" s="33" t="s">
        <v>37</v>
      </c>
      <c r="J19" s="33" t="s">
        <v>37</v>
      </c>
    </row>
    <row r="20" spans="1:10" ht="14.4" x14ac:dyDescent="0.3">
      <c r="A20" s="29" t="s">
        <v>42</v>
      </c>
      <c r="B20" s="30" t="s">
        <v>43</v>
      </c>
      <c r="C20" s="30"/>
      <c r="D20" s="31">
        <v>303.2</v>
      </c>
      <c r="E20" s="31">
        <v>1870.74</v>
      </c>
      <c r="F20" s="31">
        <v>61.7</v>
      </c>
      <c r="G20" s="32"/>
      <c r="H20" s="33" t="s">
        <v>37</v>
      </c>
      <c r="I20" s="33" t="s">
        <v>37</v>
      </c>
      <c r="J20" s="33" t="s">
        <v>37</v>
      </c>
    </row>
    <row r="21" spans="1:10" ht="14.4" x14ac:dyDescent="0.3">
      <c r="A21" s="29" t="s">
        <v>44</v>
      </c>
      <c r="B21" s="30" t="s">
        <v>45</v>
      </c>
      <c r="C21" s="30"/>
      <c r="D21" s="31">
        <v>805.7</v>
      </c>
      <c r="E21" s="31">
        <v>4941.3599999999997</v>
      </c>
      <c r="F21" s="31">
        <v>61.33</v>
      </c>
      <c r="G21" s="32"/>
      <c r="H21" s="33" t="s">
        <v>37</v>
      </c>
      <c r="I21" s="33" t="s">
        <v>37</v>
      </c>
      <c r="J21" s="33" t="s">
        <v>37</v>
      </c>
    </row>
    <row r="22" spans="1:10" ht="14.4" x14ac:dyDescent="0.3">
      <c r="A22" s="29" t="s">
        <v>46</v>
      </c>
      <c r="B22" s="30" t="s">
        <v>47</v>
      </c>
      <c r="C22" s="30"/>
      <c r="D22" s="31">
        <v>1590.4</v>
      </c>
      <c r="E22" s="31">
        <v>9837.94</v>
      </c>
      <c r="F22" s="31">
        <v>61.86</v>
      </c>
      <c r="G22" s="32"/>
      <c r="H22" s="33" t="s">
        <v>37</v>
      </c>
      <c r="I22" s="33" t="s">
        <v>37</v>
      </c>
      <c r="J22" s="33" t="s">
        <v>37</v>
      </c>
    </row>
    <row r="23" spans="1:10" ht="14.4" x14ac:dyDescent="0.3">
      <c r="A23" s="29" t="s">
        <v>48</v>
      </c>
      <c r="B23" s="30" t="s">
        <v>49</v>
      </c>
      <c r="C23" s="30"/>
      <c r="D23" s="31">
        <v>1376.9</v>
      </c>
      <c r="E23" s="31">
        <v>8583.67</v>
      </c>
      <c r="F23" s="31">
        <v>62.34</v>
      </c>
      <c r="G23" s="32"/>
      <c r="H23" s="33" t="s">
        <v>37</v>
      </c>
      <c r="I23" s="33" t="s">
        <v>37</v>
      </c>
      <c r="J23" s="33" t="s">
        <v>37</v>
      </c>
    </row>
    <row r="24" spans="1:10" ht="14.4" x14ac:dyDescent="0.3">
      <c r="A24" s="29" t="s">
        <v>50</v>
      </c>
      <c r="B24" s="30" t="s">
        <v>51</v>
      </c>
      <c r="C24" s="30"/>
      <c r="D24" s="31">
        <v>1469.3</v>
      </c>
      <c r="E24" s="31">
        <v>9050.08</v>
      </c>
      <c r="F24" s="31">
        <v>61.59</v>
      </c>
      <c r="G24" s="32"/>
      <c r="H24" s="33" t="s">
        <v>37</v>
      </c>
      <c r="I24" s="33" t="s">
        <v>37</v>
      </c>
      <c r="J24" s="33" t="s">
        <v>37</v>
      </c>
    </row>
    <row r="25" spans="1:10" ht="14.4" x14ac:dyDescent="0.3">
      <c r="A25" s="29" t="s">
        <v>52</v>
      </c>
      <c r="B25" s="30" t="s">
        <v>53</v>
      </c>
      <c r="C25" s="30"/>
      <c r="D25" s="31">
        <v>1589.9</v>
      </c>
      <c r="E25" s="31">
        <v>9300.92</v>
      </c>
      <c r="F25" s="31">
        <v>58.5</v>
      </c>
      <c r="G25" s="32"/>
      <c r="H25" s="33" t="s">
        <v>37</v>
      </c>
      <c r="I25" s="33" t="s">
        <v>37</v>
      </c>
      <c r="J25" s="33" t="s">
        <v>37</v>
      </c>
    </row>
    <row r="26" spans="1:10" ht="14.4" x14ac:dyDescent="0.3">
      <c r="A26" s="29" t="s">
        <v>54</v>
      </c>
      <c r="B26" s="30" t="s">
        <v>55</v>
      </c>
      <c r="C26" s="30"/>
      <c r="D26" s="31">
        <v>607.4</v>
      </c>
      <c r="E26" s="31">
        <v>3413.59</v>
      </c>
      <c r="F26" s="31">
        <v>56.2</v>
      </c>
      <c r="G26" s="32"/>
      <c r="H26" s="33" t="s">
        <v>37</v>
      </c>
      <c r="I26" s="33" t="s">
        <v>37</v>
      </c>
      <c r="J26" s="33" t="s">
        <v>37</v>
      </c>
    </row>
    <row r="27" spans="1:10" ht="14.4" x14ac:dyDescent="0.3">
      <c r="A27" s="29" t="s">
        <v>56</v>
      </c>
      <c r="B27" s="30" t="s">
        <v>57</v>
      </c>
      <c r="C27" s="30"/>
      <c r="D27" s="31">
        <v>534.9</v>
      </c>
      <c r="E27" s="31">
        <v>3064.98</v>
      </c>
      <c r="F27" s="31">
        <v>57.3</v>
      </c>
      <c r="G27" s="32"/>
      <c r="H27" s="33" t="s">
        <v>37</v>
      </c>
      <c r="I27" s="33" t="s">
        <v>37</v>
      </c>
      <c r="J27" s="33" t="s">
        <v>37</v>
      </c>
    </row>
    <row r="28" spans="1:10" ht="14.4" x14ac:dyDescent="0.3">
      <c r="A28" s="29" t="s">
        <v>58</v>
      </c>
      <c r="B28" s="30" t="s">
        <v>59</v>
      </c>
      <c r="C28" s="30"/>
      <c r="D28" s="31">
        <v>226.9</v>
      </c>
      <c r="E28" s="31">
        <v>1202.57</v>
      </c>
      <c r="F28" s="31">
        <v>53</v>
      </c>
      <c r="G28" s="32"/>
      <c r="H28" s="33" t="s">
        <v>37</v>
      </c>
      <c r="I28" s="33" t="s">
        <v>37</v>
      </c>
      <c r="J28" s="33" t="s">
        <v>37</v>
      </c>
    </row>
    <row r="29" spans="1:10" ht="14.4" x14ac:dyDescent="0.3">
      <c r="A29" s="29" t="s">
        <v>60</v>
      </c>
      <c r="B29" s="30" t="s">
        <v>61</v>
      </c>
      <c r="C29" s="30"/>
      <c r="D29" s="31" t="s">
        <v>37</v>
      </c>
      <c r="E29" s="31" t="s">
        <v>37</v>
      </c>
      <c r="F29" s="31" t="s">
        <v>37</v>
      </c>
      <c r="G29" s="32"/>
      <c r="H29" s="33" t="s">
        <v>37</v>
      </c>
      <c r="I29" s="33" t="s">
        <v>37</v>
      </c>
      <c r="J29" s="33" t="s">
        <v>37</v>
      </c>
    </row>
    <row r="30" spans="1:10" ht="14.4" x14ac:dyDescent="0.3">
      <c r="A30" s="29" t="s">
        <v>62</v>
      </c>
      <c r="B30" s="30" t="s">
        <v>63</v>
      </c>
      <c r="C30" s="30"/>
      <c r="D30" s="31">
        <v>316.60000000000002</v>
      </c>
      <c r="E30" s="31">
        <v>1370.88</v>
      </c>
      <c r="F30" s="31">
        <v>43.3</v>
      </c>
      <c r="G30" s="32"/>
      <c r="H30" s="33" t="s">
        <v>37</v>
      </c>
      <c r="I30" s="33" t="s">
        <v>37</v>
      </c>
      <c r="J30" s="33" t="s">
        <v>37</v>
      </c>
    </row>
    <row r="31" spans="1:10" ht="14.4" x14ac:dyDescent="0.3">
      <c r="A31" s="29" t="s">
        <v>64</v>
      </c>
      <c r="B31" s="30" t="s">
        <v>65</v>
      </c>
      <c r="C31" s="30"/>
      <c r="D31" s="31">
        <v>1288.2</v>
      </c>
      <c r="E31" s="31">
        <v>7117.31</v>
      </c>
      <c r="F31" s="31">
        <v>55.25</v>
      </c>
      <c r="G31" s="32"/>
      <c r="H31" s="33" t="s">
        <v>37</v>
      </c>
      <c r="I31" s="33" t="s">
        <v>37</v>
      </c>
      <c r="J31" s="33" t="s">
        <v>37</v>
      </c>
    </row>
    <row r="32" spans="1:10" ht="18.75" customHeight="1" x14ac:dyDescent="0.3">
      <c r="A32" s="29" t="s">
        <v>66</v>
      </c>
      <c r="B32" s="30" t="s">
        <v>67</v>
      </c>
      <c r="C32" s="30"/>
      <c r="D32" s="31">
        <v>762.8</v>
      </c>
      <c r="E32" s="31">
        <v>4254.1400000000003</v>
      </c>
      <c r="F32" s="31">
        <v>55.77</v>
      </c>
      <c r="G32" s="32"/>
      <c r="H32" s="33" t="s">
        <v>37</v>
      </c>
      <c r="I32" s="33" t="s">
        <v>37</v>
      </c>
      <c r="J32" s="33" t="s">
        <v>37</v>
      </c>
    </row>
    <row r="33" spans="1:10" ht="15" customHeight="1" x14ac:dyDescent="0.25">
      <c r="A33" s="27" t="s">
        <v>68</v>
      </c>
      <c r="B33" s="25"/>
      <c r="C33" s="25"/>
      <c r="D33" s="34">
        <f>SUM(D13:D32)</f>
        <v>23452.800000000007</v>
      </c>
      <c r="E33" s="34">
        <f>SUM(E13:E32)</f>
        <v>145543.82000000004</v>
      </c>
      <c r="F33" s="34">
        <f>(E33/D33)*10</f>
        <v>62.058184950197841</v>
      </c>
      <c r="G33" s="34"/>
      <c r="H33" s="34">
        <f>SUM(H13:H32)</f>
        <v>725.7</v>
      </c>
      <c r="I33" s="34">
        <f>SUM(I13:I32)</f>
        <v>3229.3199999999997</v>
      </c>
      <c r="J33" s="34">
        <f>(I33/H33)*10</f>
        <v>44.499379909053324</v>
      </c>
    </row>
    <row r="34" spans="1:10" ht="14.4" x14ac:dyDescent="0.25">
      <c r="A34" s="36" t="s">
        <v>70</v>
      </c>
      <c r="B34" s="37"/>
      <c r="C34" s="37"/>
      <c r="D34" s="38">
        <v>25142.799999999996</v>
      </c>
      <c r="E34" s="38">
        <v>152503</v>
      </c>
      <c r="F34" s="39">
        <v>60.654741160316938</v>
      </c>
      <c r="G34" s="38"/>
      <c r="H34" s="38">
        <v>546</v>
      </c>
      <c r="I34" s="38">
        <v>1784.8739999999989</v>
      </c>
      <c r="J34" s="39">
        <v>32.689999999999984</v>
      </c>
    </row>
    <row r="35" spans="1:10" ht="14.4" x14ac:dyDescent="0.25">
      <c r="A35" s="40" t="s">
        <v>69</v>
      </c>
      <c r="B35" s="2"/>
      <c r="C35" s="2"/>
      <c r="D35" s="41">
        <v>25584.6</v>
      </c>
      <c r="E35" s="41">
        <v>151095</v>
      </c>
      <c r="F35" s="41">
        <v>59.06</v>
      </c>
      <c r="G35" s="41"/>
      <c r="H35" s="41">
        <v>158</v>
      </c>
      <c r="I35" s="41">
        <v>732</v>
      </c>
      <c r="J35" s="41">
        <v>46.33</v>
      </c>
    </row>
    <row r="36" spans="1:10" ht="14.4" x14ac:dyDescent="0.25">
      <c r="A36" s="40" t="s">
        <v>71</v>
      </c>
      <c r="B36" s="2"/>
      <c r="C36" s="2"/>
      <c r="D36" s="41">
        <v>24525.500000000004</v>
      </c>
      <c r="E36" s="41">
        <v>129800.99814290553</v>
      </c>
      <c r="F36" s="41">
        <v>52.92</v>
      </c>
      <c r="G36" s="41">
        <v>0</v>
      </c>
      <c r="H36" s="41">
        <v>929</v>
      </c>
      <c r="I36" s="41">
        <v>3622.9962</v>
      </c>
      <c r="J36" s="41">
        <v>39</v>
      </c>
    </row>
    <row r="37" spans="1:10" ht="15" thickBot="1" x14ac:dyDescent="0.3">
      <c r="A37" s="40" t="s">
        <v>72</v>
      </c>
      <c r="B37" s="2"/>
      <c r="C37" s="2"/>
      <c r="D37" s="41">
        <v>22308</v>
      </c>
      <c r="E37" s="41">
        <v>145280</v>
      </c>
      <c r="F37" s="41">
        <v>62.33</v>
      </c>
      <c r="G37" s="41">
        <v>1168</v>
      </c>
      <c r="H37" s="41">
        <v>1168</v>
      </c>
      <c r="I37" s="41">
        <v>4482.01</v>
      </c>
      <c r="J37" s="41">
        <v>38.369999999999997</v>
      </c>
    </row>
    <row r="38" spans="1:10" ht="15" thickTop="1" x14ac:dyDescent="0.3">
      <c r="A38" s="42" t="s">
        <v>73</v>
      </c>
      <c r="B38" s="42"/>
      <c r="C38" s="42"/>
      <c r="D38" s="42"/>
      <c r="E38" s="42"/>
      <c r="F38" s="42"/>
      <c r="G38" s="42"/>
      <c r="H38" s="42"/>
      <c r="I38" s="42"/>
      <c r="J38" s="42"/>
    </row>
    <row r="39" spans="1:10" ht="16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6.5" customHeight="1" x14ac:dyDescent="0.3">
      <c r="A40" s="4"/>
      <c r="B40" s="4"/>
      <c r="C40" s="4"/>
      <c r="D40" s="35"/>
      <c r="E40" s="35"/>
      <c r="F40" s="4"/>
      <c r="G40" s="4"/>
      <c r="H40" s="4"/>
      <c r="I40" s="4"/>
      <c r="J40" s="4"/>
    </row>
    <row r="41" spans="1:10" ht="12.75" customHeight="1" x14ac:dyDescent="0.3">
      <c r="A41" s="43"/>
      <c r="B41" s="4"/>
      <c r="C41" s="4"/>
      <c r="D41" s="4"/>
      <c r="E41" s="4"/>
      <c r="F41" s="4"/>
      <c r="G41" s="4"/>
      <c r="H41" s="35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2.75" customHeight="1" x14ac:dyDescent="0.25"/>
    <row r="51" spans="1:10" ht="12.75" customHeight="1" x14ac:dyDescent="0.25"/>
    <row r="52" spans="1:10" ht="12.75" customHeight="1" x14ac:dyDescent="0.25"/>
    <row r="53" spans="1:10" ht="12.75" customHeight="1" x14ac:dyDescent="0.25"/>
    <row r="54" spans="1:10" ht="12.75" customHeight="1" x14ac:dyDescent="0.25"/>
    <row r="55" spans="1:10" ht="12.75" customHeight="1" x14ac:dyDescent="0.25"/>
    <row r="56" spans="1:10" ht="12.75" customHeight="1" x14ac:dyDescent="0.25"/>
    <row r="57" spans="1:10" ht="12.75" customHeight="1" x14ac:dyDescent="0.25"/>
    <row r="58" spans="1:10" ht="12.75" customHeight="1" x14ac:dyDescent="0.25"/>
    <row r="59" spans="1:10" ht="12.75" customHeight="1" x14ac:dyDescent="0.25"/>
    <row r="60" spans="1:10" ht="12.75" customHeight="1" x14ac:dyDescent="0.25"/>
    <row r="61" spans="1:10" ht="12.75" customHeight="1" x14ac:dyDescent="0.25"/>
    <row r="62" spans="1:10" ht="12.75" customHeight="1" x14ac:dyDescent="0.25"/>
    <row r="63" spans="1:10" ht="12.75" customHeight="1" x14ac:dyDescent="0.25"/>
    <row r="64" spans="1:10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7:C37"/>
    <mergeCell ref="A36:C36"/>
    <mergeCell ref="A35:C35"/>
    <mergeCell ref="A34:C34"/>
    <mergeCell ref="A33:C33"/>
    <mergeCell ref="A11:C11"/>
    <mergeCell ref="A7:C10"/>
    <mergeCell ref="D7:F7"/>
    <mergeCell ref="H7:J7"/>
    <mergeCell ref="C5:J5"/>
    <mergeCell ref="C4:J4"/>
    <mergeCell ref="C3:J3"/>
    <mergeCell ref="A1:B1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2025-07-10T03:37:18Z</dcterms:created>
  <dcterms:modified xsi:type="dcterms:W3CDTF">2025-07-10T03:37:35Z</dcterms:modified>
</cp:coreProperties>
</file>