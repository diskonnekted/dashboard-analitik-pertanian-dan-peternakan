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B55D720C-2DA6-4BA6-938B-076F2D4A4EA1}" xr6:coauthVersionLast="47" xr6:coauthVersionMax="47" xr10:uidLastSave="{00000000-0000-0000-0000-000000000000}"/>
  <bookViews>
    <workbookView xWindow="28680" yWindow="-120" windowWidth="29040" windowHeight="15720" xr2:uid="{2A578F8D-4014-44F0-AC17-39B40109EB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H29" i="1"/>
  <c r="G29" i="1"/>
  <c r="E29" i="1"/>
  <c r="D29" i="1"/>
  <c r="F24" i="1"/>
  <c r="F22" i="1"/>
  <c r="F20" i="1"/>
  <c r="J19" i="1"/>
  <c r="F17" i="1"/>
  <c r="F15" i="1"/>
  <c r="F14" i="1"/>
  <c r="J13" i="1"/>
  <c r="F13" i="1"/>
  <c r="J12" i="1"/>
  <c r="F12" i="1"/>
  <c r="F11" i="1"/>
  <c r="J10" i="1"/>
  <c r="F10" i="1"/>
  <c r="J9" i="1"/>
  <c r="F9" i="1"/>
  <c r="J29" i="1" l="1"/>
  <c r="F29" i="1"/>
</calcChain>
</file>

<file path=xl/sharedStrings.xml><?xml version="1.0" encoding="utf-8"?>
<sst xmlns="http://schemas.openxmlformats.org/spreadsheetml/2006/main" count="78" uniqueCount="69">
  <si>
    <t>Tahun 2018</t>
  </si>
  <si>
    <t>Tahun 2019</t>
  </si>
  <si>
    <t>Tabel : 5.1.1.</t>
  </si>
  <si>
    <r>
      <t>Lanjutan</t>
    </r>
    <r>
      <rPr>
        <sz val="11"/>
        <color theme="1"/>
        <rFont val="Calibri"/>
        <family val="2"/>
      </rPr>
      <t>/</t>
    </r>
    <r>
      <rPr>
        <i/>
        <sz val="11"/>
        <color theme="1"/>
        <rFont val="Calibri"/>
        <family val="2"/>
      </rPr>
      <t>Continued</t>
    </r>
  </si>
  <si>
    <t>Tahun 2020</t>
  </si>
  <si>
    <t>Tahun 2021</t>
  </si>
  <si>
    <t>Table</t>
  </si>
  <si>
    <r>
      <t xml:space="preserve">Kecamatan             </t>
    </r>
    <r>
      <rPr>
        <i/>
        <sz val="11"/>
        <color theme="1"/>
        <rFont val="Calibri"/>
        <family val="2"/>
      </rPr>
      <t>Subdistrict</t>
    </r>
  </si>
  <si>
    <r>
      <t xml:space="preserve">Kacang Tanah                                    </t>
    </r>
    <r>
      <rPr>
        <i/>
        <sz val="11"/>
        <color theme="1"/>
        <rFont val="Calibri"/>
        <family val="2"/>
      </rPr>
      <t>Peanut</t>
    </r>
  </si>
  <si>
    <r>
      <t xml:space="preserve">Kedelai                                            </t>
    </r>
    <r>
      <rPr>
        <i/>
        <sz val="11"/>
        <color theme="1"/>
        <rFont val="Calibri"/>
        <family val="2"/>
      </rPr>
      <t>Soybean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</si>
  <si>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</si>
  <si>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</si>
  <si>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</si>
  <si>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</si>
  <si>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</si>
  <si>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</si>
  <si>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</si>
  <si>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</si>
  <si>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(Ku/Ha)</t>
  </si>
  <si>
    <t>(1)</t>
  </si>
  <si>
    <t>(17)</t>
  </si>
  <si>
    <t>(18)</t>
  </si>
  <si>
    <t>(19)</t>
  </si>
  <si>
    <t>(20)</t>
  </si>
  <si>
    <t>(21)</t>
  </si>
  <si>
    <t>(22)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</si>
  <si>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</si>
  <si>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</si>
  <si>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</si>
  <si>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</si>
  <si>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</si>
  <si>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</si>
  <si>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</si>
  <si>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</si>
  <si>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</si>
  <si>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</si>
  <si>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</si>
  <si>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</si>
  <si>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</si>
  <si>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</si>
  <si>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</si>
  <si>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</si>
  <si>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</si>
  <si>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</si>
  <si>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</si>
  <si>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</si>
  <si>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</si>
  <si>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</si>
  <si>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</si>
  <si>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</si>
  <si>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</si>
  <si>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</si>
  <si>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</si>
  <si>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</si>
  <si>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</si>
  <si>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</si>
  <si>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</si>
  <si>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</si>
  <si>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</si>
  <si>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</si>
  <si>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</si>
  <si>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</si>
  <si>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</si>
  <si>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</si>
  <si>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</si>
  <si>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</si>
  <si>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</si>
  <si>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</si>
  <si>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 xml:space="preserve">Sumber Data  :  Dinas Pertanian dan Perikanan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</si>
</sst>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1" fontId="7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1"/>
    <xf numFmtId="164" fontId="2" fillId="0" borderId="0" xfId="2" applyNumberFormat="1" applyFont="1" applyAlignment="1">
      <alignment horizontal="left" shrinkToFit="1"/>
    </xf>
    <xf numFmtId="164" fontId="8" fillId="0" borderId="0" xfId="2" applyNumberFormat="1" applyFont="1" applyAlignment="1"/>
    <xf numFmtId="164" fontId="4" fillId="0" borderId="0" xfId="2" applyNumberFormat="1" applyFont="1"/>
    <xf numFmtId="164" fontId="6" fillId="0" borderId="0" xfId="2" applyNumberFormat="1" applyFont="1"/>
    <xf numFmtId="164" fontId="4" fillId="0" borderId="0" xfId="2" applyNumberFormat="1" applyFont="1" applyAlignment="1">
      <alignment horizontal="center"/>
    </xf>
    <xf numFmtId="164" fontId="8" fillId="0" borderId="0" xfId="2" applyNumberFormat="1" applyFont="1" applyAlignment="1"/>
    <xf numFmtId="164" fontId="4" fillId="0" borderId="0" xfId="2" applyNumberFormat="1" applyFont="1" applyAlignment="1"/>
    <xf numFmtId="164" fontId="9" fillId="0" borderId="0" xfId="2" applyNumberFormat="1" applyFont="1" applyAlignment="1">
      <alignment vertical="top"/>
    </xf>
    <xf numFmtId="164" fontId="6" fillId="0" borderId="1" xfId="2" applyNumberFormat="1" applyFont="1" applyBorder="1" applyAlignment="1">
      <alignment horizontal="center" vertical="center" wrapText="1"/>
    </xf>
    <xf numFmtId="164" fontId="5" fillId="0" borderId="1" xfId="2" applyNumberFormat="1" applyFont="1" applyBorder="1"/>
    <xf numFmtId="164" fontId="6" fillId="0" borderId="2" xfId="2" applyNumberFormat="1" applyFont="1" applyBorder="1" applyAlignment="1">
      <alignment horizontal="center" vertical="center" wrapText="1"/>
    </xf>
    <xf numFmtId="164" fontId="5" fillId="0" borderId="2" xfId="2" applyNumberFormat="1" applyFont="1" applyBorder="1"/>
    <xf numFmtId="164" fontId="6" fillId="0" borderId="1" xfId="2" applyNumberFormat="1" applyFont="1" applyBorder="1" applyAlignment="1">
      <alignment horizontal="center" vertical="center" wrapText="1"/>
    </xf>
    <xf numFmtId="164" fontId="6" fillId="0" borderId="0" xfId="2" applyNumberFormat="1" applyFont="1" applyAlignment="1">
      <alignment horizontal="center" wrapText="1"/>
    </xf>
    <xf numFmtId="164" fontId="6" fillId="0" borderId="3" xfId="2" applyNumberFormat="1" applyFont="1" applyBorder="1" applyAlignment="1">
      <alignment horizontal="center" wrapText="1"/>
    </xf>
    <xf numFmtId="164" fontId="6" fillId="0" borderId="0" xfId="2" applyNumberFormat="1" applyFont="1" applyAlignment="1">
      <alignment wrapText="1"/>
    </xf>
    <xf numFmtId="164" fontId="9" fillId="0" borderId="0" xfId="2" applyNumberFormat="1" applyFont="1" applyAlignment="1">
      <alignment horizontal="center" vertical="center" wrapText="1"/>
    </xf>
    <xf numFmtId="164" fontId="9" fillId="0" borderId="0" xfId="2" applyNumberFormat="1" applyFont="1" applyAlignment="1">
      <alignment horizontal="center" vertical="center"/>
    </xf>
    <xf numFmtId="164" fontId="9" fillId="0" borderId="0" xfId="2" applyNumberFormat="1" applyFont="1" applyAlignment="1">
      <alignment vertical="center" wrapText="1"/>
    </xf>
    <xf numFmtId="164" fontId="5" fillId="0" borderId="4" xfId="2" applyNumberFormat="1" applyFont="1" applyBorder="1"/>
    <xf numFmtId="164" fontId="6" fillId="0" borderId="0" xfId="2" applyNumberFormat="1" applyFont="1" applyAlignment="1">
      <alignment horizontal="center" vertical="center" wrapText="1"/>
    </xf>
    <xf numFmtId="164" fontId="6" fillId="0" borderId="0" xfId="2" applyNumberFormat="1" applyFont="1" applyAlignment="1">
      <alignment vertical="center" wrapText="1"/>
    </xf>
    <xf numFmtId="164" fontId="6" fillId="0" borderId="5" xfId="2" applyNumberFormat="1" applyFont="1" applyBorder="1" applyAlignment="1">
      <alignment horizontal="center" vertical="center"/>
    </xf>
    <xf numFmtId="164" fontId="5" fillId="0" borderId="5" xfId="2" applyNumberFormat="1" applyFont="1" applyBorder="1"/>
    <xf numFmtId="164" fontId="6" fillId="0" borderId="5" xfId="2" applyNumberFormat="1" applyFont="1" applyBorder="1" applyAlignment="1">
      <alignment horizontal="center" vertical="center"/>
    </xf>
    <xf numFmtId="164" fontId="6" fillId="0" borderId="5" xfId="2" applyNumberFormat="1" applyFont="1" applyBorder="1" applyAlignment="1">
      <alignment vertical="center"/>
    </xf>
    <xf numFmtId="164" fontId="6" fillId="0" borderId="3" xfId="2" applyNumberFormat="1" applyFont="1" applyBorder="1"/>
    <xf numFmtId="164" fontId="6" fillId="0" borderId="0" xfId="2" applyNumberFormat="1" applyFont="1" applyAlignment="1"/>
    <xf numFmtId="164" fontId="6" fillId="0" borderId="0" xfId="2" applyNumberFormat="1" applyFont="1" applyAlignment="1">
      <alignment horizontal="center" vertical="center"/>
    </xf>
    <xf numFmtId="164" fontId="6" fillId="0" borderId="0" xfId="2" applyNumberFormat="1" applyFont="1" applyAlignment="1">
      <alignment horizontal="left" vertical="center"/>
    </xf>
    <xf numFmtId="164" fontId="8" fillId="0" borderId="0" xfId="2" applyNumberFormat="1" applyFont="1" applyAlignment="1">
      <alignment horizontal="right"/>
    </xf>
    <xf numFmtId="164" fontId="8" fillId="0" borderId="0" xfId="2" applyNumberFormat="1" applyFont="1"/>
    <xf numFmtId="164" fontId="8" fillId="0" borderId="0" xfId="2" applyNumberFormat="1" applyFont="1" applyAlignment="1">
      <alignment horizontal="center"/>
    </xf>
    <xf numFmtId="164" fontId="4" fillId="0" borderId="5" xfId="2" applyNumberFormat="1" applyFont="1" applyBorder="1" applyAlignment="1">
      <alignment horizontal="center" vertical="center"/>
    </xf>
    <xf numFmtId="164" fontId="3" fillId="0" borderId="5" xfId="2" applyNumberFormat="1" applyFont="1" applyBorder="1"/>
    <xf numFmtId="164" fontId="4" fillId="0" borderId="3" xfId="2" applyNumberFormat="1" applyFont="1" applyBorder="1" applyAlignment="1">
      <alignment horizontal="left" vertical="center"/>
    </xf>
    <xf numFmtId="164" fontId="4" fillId="0" borderId="3" xfId="2" applyNumberFormat="1" applyFont="1" applyBorder="1" applyAlignment="1">
      <alignment vertical="center"/>
    </xf>
    <xf numFmtId="164" fontId="6" fillId="0" borderId="3" xfId="2" applyNumberFormat="1" applyFont="1" applyBorder="1" applyAlignment="1">
      <alignment horizontal="center" vertical="center"/>
    </xf>
    <xf numFmtId="164" fontId="5" fillId="0" borderId="3" xfId="2" applyNumberFormat="1" applyFont="1" applyBorder="1"/>
    <xf numFmtId="164" fontId="6" fillId="0" borderId="3" xfId="2" applyNumberFormat="1" applyFont="1" applyBorder="1" applyAlignment="1">
      <alignment horizontal="left" vertical="center"/>
    </xf>
    <xf numFmtId="164" fontId="6" fillId="0" borderId="3" xfId="2" applyNumberFormat="1" applyFont="1" applyBorder="1" applyAlignment="1">
      <alignment vertical="center"/>
    </xf>
    <xf numFmtId="164" fontId="6" fillId="0" borderId="0" xfId="2" applyNumberFormat="1" applyFont="1" applyAlignment="1">
      <alignment horizontal="center" vertical="center"/>
    </xf>
    <xf numFmtId="164" fontId="6" fillId="0" borderId="0" xfId="2" applyNumberFormat="1" applyFont="1" applyAlignment="1">
      <alignment vertical="center"/>
    </xf>
    <xf numFmtId="164" fontId="6" fillId="0" borderId="1" xfId="2" applyNumberFormat="1" applyFont="1" applyBorder="1" applyAlignment="1">
      <alignment horizontal="left"/>
    </xf>
    <xf numFmtId="164" fontId="0" fillId="0" borderId="0" xfId="2" applyNumberFormat="1" applyFont="1" applyAlignment="1"/>
  </cellXfs>
  <cellStyles count="3">
    <cellStyle name="Comma [0] 3" xfId="2" xr:uid="{2387E206-CF4E-42A5-9EEE-743E1B821615}"/>
    <cellStyle name="Normal" xfId="0" builtinId="0"/>
    <cellStyle name="Normal 4" xfId="1" xr:uid="{26927F8F-C0D8-47C0-B5A5-B13B91156D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3055B-2107-4ECC-A988-DECB5279098C}">
  <dimension ref="A1:J996"/>
  <sheetViews>
    <sheetView tabSelected="1" workbookViewId="0">
      <selection activeCell="N11" sqref="N11"/>
    </sheetView>
  </sheetViews>
  <sheetFormatPr defaultColWidth="14.44140625" defaultRowHeight="14.4" x14ac:dyDescent="0.3"/>
  <cols>
    <col min="1" max="1" width="3.77734375" style="1" customWidth="1"/>
    <col min="2" max="2" width="8.77734375" style="1" customWidth="1"/>
    <col min="3" max="3" width="4.77734375" style="1" customWidth="1"/>
    <col min="4" max="4" width="9.77734375" style="1" customWidth="1"/>
    <col min="5" max="5" width="11.44140625" style="1" customWidth="1"/>
    <col min="6" max="6" width="10.21875" style="1" customWidth="1"/>
    <col min="7" max="7" width="0.77734375" style="1" hidden="1" customWidth="1"/>
    <col min="8" max="8" width="9.77734375" style="1" customWidth="1"/>
    <col min="9" max="9" width="10.5546875" style="1" customWidth="1"/>
    <col min="10" max="10" width="10.44140625" style="46" customWidth="1"/>
    <col min="11" max="16384" width="14.44140625" style="1"/>
  </cols>
  <sheetData>
    <row r="1" spans="1:10" x14ac:dyDescent="0.3">
      <c r="A1" s="2" t="s">
        <v>2</v>
      </c>
      <c r="B1" s="3"/>
      <c r="C1" s="4" t="s">
        <v>3</v>
      </c>
      <c r="D1" s="5"/>
      <c r="E1" s="6"/>
      <c r="F1" s="6"/>
      <c r="G1" s="6"/>
      <c r="H1" s="6"/>
      <c r="I1" s="6"/>
      <c r="J1" s="8" t="s">
        <v>5</v>
      </c>
    </row>
    <row r="2" spans="1:10" ht="15" thickBot="1" x14ac:dyDescent="0.35">
      <c r="A2" s="9" t="s">
        <v>6</v>
      </c>
      <c r="B2" s="6"/>
      <c r="C2" s="6"/>
      <c r="D2" s="6"/>
      <c r="E2" s="4"/>
      <c r="F2" s="4"/>
      <c r="G2" s="4"/>
      <c r="H2" s="4"/>
      <c r="I2" s="4"/>
      <c r="J2" s="8"/>
    </row>
    <row r="3" spans="1:10" ht="27.75" customHeight="1" thickTop="1" x14ac:dyDescent="0.3">
      <c r="A3" s="10" t="s">
        <v>7</v>
      </c>
      <c r="B3" s="11"/>
      <c r="C3" s="11"/>
      <c r="D3" s="12" t="s">
        <v>8</v>
      </c>
      <c r="E3" s="13"/>
      <c r="F3" s="13"/>
      <c r="G3" s="14"/>
      <c r="H3" s="12" t="s">
        <v>9</v>
      </c>
      <c r="I3" s="13"/>
      <c r="J3" s="13"/>
    </row>
    <row r="4" spans="1:10" ht="12.75" customHeight="1" x14ac:dyDescent="0.3">
      <c r="A4" s="3"/>
      <c r="B4" s="3"/>
      <c r="C4" s="3"/>
      <c r="D4" s="15" t="s">
        <v>10</v>
      </c>
      <c r="E4" s="16" t="s">
        <v>11</v>
      </c>
      <c r="F4" s="15" t="s">
        <v>12</v>
      </c>
      <c r="G4" s="15"/>
      <c r="H4" s="15" t="s">
        <v>10</v>
      </c>
      <c r="I4" s="16" t="s">
        <v>11</v>
      </c>
      <c r="J4" s="17" t="s">
        <v>12</v>
      </c>
    </row>
    <row r="5" spans="1:10" ht="43.2" x14ac:dyDescent="0.25">
      <c r="A5" s="3"/>
      <c r="B5" s="3"/>
      <c r="C5" s="3"/>
      <c r="D5" s="18" t="s">
        <v>13</v>
      </c>
      <c r="E5" s="18" t="s">
        <v>14</v>
      </c>
      <c r="F5" s="18" t="s">
        <v>15</v>
      </c>
      <c r="G5" s="18"/>
      <c r="H5" s="18" t="s">
        <v>13</v>
      </c>
      <c r="I5" s="19" t="s">
        <v>14</v>
      </c>
      <c r="J5" s="20" t="s">
        <v>15</v>
      </c>
    </row>
    <row r="6" spans="1:10" x14ac:dyDescent="0.25">
      <c r="A6" s="21"/>
      <c r="B6" s="21"/>
      <c r="C6" s="21"/>
      <c r="D6" s="22" t="s">
        <v>16</v>
      </c>
      <c r="E6" s="22" t="s">
        <v>17</v>
      </c>
      <c r="F6" s="22" t="s">
        <v>18</v>
      </c>
      <c r="G6" s="22"/>
      <c r="H6" s="22" t="s">
        <v>16</v>
      </c>
      <c r="I6" s="22" t="s">
        <v>17</v>
      </c>
      <c r="J6" s="23" t="s">
        <v>18</v>
      </c>
    </row>
    <row r="7" spans="1:10" x14ac:dyDescent="0.3">
      <c r="A7" s="24" t="s">
        <v>19</v>
      </c>
      <c r="B7" s="25"/>
      <c r="C7" s="25"/>
      <c r="D7" s="26" t="s">
        <v>20</v>
      </c>
      <c r="E7" s="26" t="s">
        <v>21</v>
      </c>
      <c r="F7" s="26" t="s">
        <v>22</v>
      </c>
      <c r="G7" s="26"/>
      <c r="H7" s="26" t="s">
        <v>23</v>
      </c>
      <c r="I7" s="26" t="s">
        <v>24</v>
      </c>
      <c r="J7" s="27" t="s">
        <v>25</v>
      </c>
    </row>
    <row r="8" spans="1:10" ht="7.5" hidden="1" customHeight="1" x14ac:dyDescent="0.3">
      <c r="A8" s="5"/>
      <c r="B8" s="5"/>
      <c r="C8" s="28"/>
      <c r="D8" s="28"/>
      <c r="E8" s="5"/>
      <c r="F8" s="5"/>
      <c r="G8" s="5"/>
      <c r="H8" s="5"/>
      <c r="I8" s="5"/>
      <c r="J8" s="29"/>
    </row>
    <row r="9" spans="1:10" x14ac:dyDescent="0.3">
      <c r="A9" s="30" t="s">
        <v>26</v>
      </c>
      <c r="B9" s="31" t="s">
        <v>27</v>
      </c>
      <c r="C9" s="31"/>
      <c r="D9" s="32">
        <v>10</v>
      </c>
      <c r="E9" s="32">
        <v>15</v>
      </c>
      <c r="F9" s="32">
        <f>(E9/D9)*10</f>
        <v>15</v>
      </c>
      <c r="G9" s="5"/>
      <c r="H9" s="33">
        <v>420</v>
      </c>
      <c r="I9" s="33">
        <v>588</v>
      </c>
      <c r="J9" s="7">
        <f>(I9/H9)*10</f>
        <v>14</v>
      </c>
    </row>
    <row r="10" spans="1:10" x14ac:dyDescent="0.3">
      <c r="A10" s="30" t="s">
        <v>28</v>
      </c>
      <c r="B10" s="31" t="s">
        <v>29</v>
      </c>
      <c r="C10" s="31"/>
      <c r="D10" s="32">
        <v>36</v>
      </c>
      <c r="E10" s="32">
        <v>90</v>
      </c>
      <c r="F10" s="32">
        <f t="shared" ref="F10:F24" si="0">(E10/D10)*10</f>
        <v>25</v>
      </c>
      <c r="G10" s="5"/>
      <c r="H10" s="33">
        <v>13</v>
      </c>
      <c r="I10" s="33">
        <v>15.6</v>
      </c>
      <c r="J10" s="7">
        <f t="shared" ref="J10:J19" si="1">(I10/H10)*10</f>
        <v>12</v>
      </c>
    </row>
    <row r="11" spans="1:10" x14ac:dyDescent="0.3">
      <c r="A11" s="30" t="s">
        <v>30</v>
      </c>
      <c r="B11" s="31" t="s">
        <v>31</v>
      </c>
      <c r="C11" s="31"/>
      <c r="D11" s="32">
        <v>31</v>
      </c>
      <c r="E11" s="32">
        <v>62</v>
      </c>
      <c r="F11" s="32">
        <f t="shared" si="0"/>
        <v>20</v>
      </c>
      <c r="G11" s="5"/>
      <c r="H11" s="33">
        <v>0</v>
      </c>
      <c r="I11" s="33">
        <v>0</v>
      </c>
      <c r="J11" s="7">
        <v>0</v>
      </c>
    </row>
    <row r="12" spans="1:10" x14ac:dyDescent="0.3">
      <c r="A12" s="30" t="s">
        <v>32</v>
      </c>
      <c r="B12" s="31" t="s">
        <v>33</v>
      </c>
      <c r="C12" s="31"/>
      <c r="D12" s="32">
        <v>206</v>
      </c>
      <c r="E12" s="32">
        <v>370.8</v>
      </c>
      <c r="F12" s="32">
        <f t="shared" si="0"/>
        <v>18</v>
      </c>
      <c r="G12" s="5"/>
      <c r="H12" s="33">
        <v>15</v>
      </c>
      <c r="I12" s="33">
        <v>18</v>
      </c>
      <c r="J12" s="7">
        <f t="shared" si="1"/>
        <v>12</v>
      </c>
    </row>
    <row r="13" spans="1:10" x14ac:dyDescent="0.3">
      <c r="A13" s="30" t="s">
        <v>34</v>
      </c>
      <c r="B13" s="31" t="s">
        <v>35</v>
      </c>
      <c r="C13" s="31"/>
      <c r="D13" s="32">
        <v>47</v>
      </c>
      <c r="E13" s="32">
        <v>89.3</v>
      </c>
      <c r="F13" s="32">
        <f t="shared" si="0"/>
        <v>19</v>
      </c>
      <c r="G13" s="5"/>
      <c r="H13" s="33">
        <v>7</v>
      </c>
      <c r="I13" s="33">
        <v>8.4</v>
      </c>
      <c r="J13" s="7">
        <f t="shared" si="1"/>
        <v>12</v>
      </c>
    </row>
    <row r="14" spans="1:10" x14ac:dyDescent="0.3">
      <c r="A14" s="30" t="s">
        <v>36</v>
      </c>
      <c r="B14" s="31" t="s">
        <v>37</v>
      </c>
      <c r="C14" s="31"/>
      <c r="D14" s="32">
        <v>87</v>
      </c>
      <c r="E14" s="32">
        <v>139.19999999999999</v>
      </c>
      <c r="F14" s="32">
        <f t="shared" si="0"/>
        <v>15.999999999999998</v>
      </c>
      <c r="G14" s="5"/>
      <c r="H14" s="33">
        <v>0</v>
      </c>
      <c r="I14" s="33">
        <v>0</v>
      </c>
      <c r="J14" s="7">
        <v>0</v>
      </c>
    </row>
    <row r="15" spans="1:10" x14ac:dyDescent="0.3">
      <c r="A15" s="30" t="s">
        <v>38</v>
      </c>
      <c r="B15" s="31" t="s">
        <v>39</v>
      </c>
      <c r="C15" s="31"/>
      <c r="D15" s="32">
        <v>15</v>
      </c>
      <c r="E15" s="32">
        <v>21</v>
      </c>
      <c r="F15" s="32">
        <f t="shared" si="0"/>
        <v>14</v>
      </c>
      <c r="G15" s="5"/>
      <c r="H15" s="33">
        <v>0</v>
      </c>
      <c r="I15" s="33">
        <v>0</v>
      </c>
      <c r="J15" s="7">
        <v>0</v>
      </c>
    </row>
    <row r="16" spans="1:10" x14ac:dyDescent="0.3">
      <c r="A16" s="30" t="s">
        <v>40</v>
      </c>
      <c r="B16" s="31" t="s">
        <v>41</v>
      </c>
      <c r="C16" s="31"/>
      <c r="D16" s="32">
        <v>0</v>
      </c>
      <c r="E16" s="32">
        <v>0</v>
      </c>
      <c r="F16" s="32">
        <v>0</v>
      </c>
      <c r="G16" s="5"/>
      <c r="H16" s="33">
        <v>0</v>
      </c>
      <c r="I16" s="33">
        <v>0</v>
      </c>
      <c r="J16" s="7">
        <v>0</v>
      </c>
    </row>
    <row r="17" spans="1:10" x14ac:dyDescent="0.3">
      <c r="A17" s="30" t="s">
        <v>42</v>
      </c>
      <c r="B17" s="31" t="s">
        <v>43</v>
      </c>
      <c r="C17" s="31"/>
      <c r="D17" s="32">
        <v>34</v>
      </c>
      <c r="E17" s="32">
        <v>255</v>
      </c>
      <c r="F17" s="32">
        <f t="shared" si="0"/>
        <v>75</v>
      </c>
      <c r="G17" s="5"/>
      <c r="H17" s="33">
        <v>0</v>
      </c>
      <c r="I17" s="33">
        <v>0</v>
      </c>
      <c r="J17" s="7">
        <v>0</v>
      </c>
    </row>
    <row r="18" spans="1:10" x14ac:dyDescent="0.3">
      <c r="A18" s="30" t="s">
        <v>44</v>
      </c>
      <c r="B18" s="31" t="s">
        <v>45</v>
      </c>
      <c r="C18" s="31"/>
      <c r="D18" s="34">
        <v>0</v>
      </c>
      <c r="E18" s="34">
        <v>0</v>
      </c>
      <c r="F18" s="32">
        <v>0</v>
      </c>
      <c r="G18" s="5"/>
      <c r="H18" s="33">
        <v>0</v>
      </c>
      <c r="I18" s="33">
        <v>0</v>
      </c>
      <c r="J18" s="7">
        <v>0</v>
      </c>
    </row>
    <row r="19" spans="1:10" x14ac:dyDescent="0.3">
      <c r="A19" s="30" t="s">
        <v>46</v>
      </c>
      <c r="B19" s="31" t="s">
        <v>47</v>
      </c>
      <c r="C19" s="31"/>
      <c r="D19" s="32">
        <v>0</v>
      </c>
      <c r="E19" s="32">
        <v>0</v>
      </c>
      <c r="F19" s="32">
        <v>0</v>
      </c>
      <c r="G19" s="5"/>
      <c r="H19" s="33">
        <v>4</v>
      </c>
      <c r="I19" s="33">
        <v>5.44</v>
      </c>
      <c r="J19" s="7">
        <f t="shared" si="1"/>
        <v>13.600000000000001</v>
      </c>
    </row>
    <row r="20" spans="1:10" x14ac:dyDescent="0.3">
      <c r="A20" s="30" t="s">
        <v>48</v>
      </c>
      <c r="B20" s="31" t="s">
        <v>49</v>
      </c>
      <c r="C20" s="31"/>
      <c r="D20" s="32">
        <v>173</v>
      </c>
      <c r="E20" s="32">
        <v>259.5</v>
      </c>
      <c r="F20" s="32">
        <f t="shared" si="0"/>
        <v>15</v>
      </c>
      <c r="G20" s="5"/>
      <c r="H20" s="33">
        <v>0</v>
      </c>
      <c r="I20" s="33">
        <v>0</v>
      </c>
      <c r="J20" s="7">
        <v>0</v>
      </c>
    </row>
    <row r="21" spans="1:10" x14ac:dyDescent="0.3">
      <c r="A21" s="30" t="s">
        <v>50</v>
      </c>
      <c r="B21" s="31" t="s">
        <v>51</v>
      </c>
      <c r="C21" s="31"/>
      <c r="D21" s="34">
        <v>0</v>
      </c>
      <c r="E21" s="34">
        <v>0</v>
      </c>
      <c r="F21" s="32">
        <v>0</v>
      </c>
      <c r="G21" s="5"/>
      <c r="H21" s="33">
        <v>0</v>
      </c>
      <c r="I21" s="33">
        <v>0</v>
      </c>
      <c r="J21" s="7">
        <v>0</v>
      </c>
    </row>
    <row r="22" spans="1:10" x14ac:dyDescent="0.3">
      <c r="A22" s="30" t="s">
        <v>52</v>
      </c>
      <c r="B22" s="31" t="s">
        <v>53</v>
      </c>
      <c r="C22" s="31"/>
      <c r="D22" s="32">
        <v>15</v>
      </c>
      <c r="E22" s="32">
        <v>62.7</v>
      </c>
      <c r="F22" s="32">
        <f t="shared" si="0"/>
        <v>41.800000000000004</v>
      </c>
      <c r="G22" s="5"/>
      <c r="H22" s="33">
        <v>0</v>
      </c>
      <c r="I22" s="33">
        <v>0</v>
      </c>
      <c r="J22" s="7">
        <v>0</v>
      </c>
    </row>
    <row r="23" spans="1:10" x14ac:dyDescent="0.3">
      <c r="A23" s="30" t="s">
        <v>54</v>
      </c>
      <c r="B23" s="31" t="s">
        <v>55</v>
      </c>
      <c r="C23" s="31"/>
      <c r="D23" s="34">
        <v>0</v>
      </c>
      <c r="E23" s="34">
        <v>0</v>
      </c>
      <c r="F23" s="32">
        <v>0</v>
      </c>
      <c r="G23" s="5"/>
      <c r="H23" s="33">
        <v>0</v>
      </c>
      <c r="I23" s="33">
        <v>0</v>
      </c>
      <c r="J23" s="7">
        <v>0</v>
      </c>
    </row>
    <row r="24" spans="1:10" x14ac:dyDescent="0.3">
      <c r="A24" s="30" t="s">
        <v>56</v>
      </c>
      <c r="B24" s="31" t="s">
        <v>57</v>
      </c>
      <c r="C24" s="31"/>
      <c r="D24" s="32">
        <v>14</v>
      </c>
      <c r="E24" s="32">
        <v>39.200000000000003</v>
      </c>
      <c r="F24" s="32">
        <f t="shared" si="0"/>
        <v>28.000000000000004</v>
      </c>
      <c r="G24" s="5"/>
      <c r="H24" s="33">
        <v>0</v>
      </c>
      <c r="I24" s="33">
        <v>0</v>
      </c>
      <c r="J24" s="7">
        <v>0</v>
      </c>
    </row>
    <row r="25" spans="1:10" x14ac:dyDescent="0.3">
      <c r="A25" s="30" t="s">
        <v>58</v>
      </c>
      <c r="B25" s="31" t="s">
        <v>59</v>
      </c>
      <c r="C25" s="31"/>
      <c r="D25" s="34">
        <v>0</v>
      </c>
      <c r="E25" s="34">
        <v>0</v>
      </c>
      <c r="F25" s="32">
        <v>0</v>
      </c>
      <c r="G25" s="5"/>
      <c r="H25" s="33">
        <v>0</v>
      </c>
      <c r="I25" s="33">
        <v>0</v>
      </c>
      <c r="J25" s="7">
        <v>0</v>
      </c>
    </row>
    <row r="26" spans="1:10" x14ac:dyDescent="0.3">
      <c r="A26" s="30" t="s">
        <v>60</v>
      </c>
      <c r="B26" s="31" t="s">
        <v>61</v>
      </c>
      <c r="C26" s="31"/>
      <c r="D26" s="34">
        <v>0</v>
      </c>
      <c r="E26" s="34">
        <v>0</v>
      </c>
      <c r="F26" s="32">
        <v>0</v>
      </c>
      <c r="G26" s="5"/>
      <c r="H26" s="33">
        <v>0</v>
      </c>
      <c r="I26" s="33">
        <v>0</v>
      </c>
      <c r="J26" s="7">
        <v>0</v>
      </c>
    </row>
    <row r="27" spans="1:10" x14ac:dyDescent="0.3">
      <c r="A27" s="30" t="s">
        <v>62</v>
      </c>
      <c r="B27" s="31" t="s">
        <v>63</v>
      </c>
      <c r="C27" s="31"/>
      <c r="D27" s="34">
        <v>0</v>
      </c>
      <c r="E27" s="34">
        <v>0</v>
      </c>
      <c r="F27" s="32">
        <v>0</v>
      </c>
      <c r="G27" s="5"/>
      <c r="H27" s="33">
        <v>0</v>
      </c>
      <c r="I27" s="33">
        <v>0</v>
      </c>
      <c r="J27" s="7">
        <v>0</v>
      </c>
    </row>
    <row r="28" spans="1:10" x14ac:dyDescent="0.3">
      <c r="A28" s="30" t="s">
        <v>64</v>
      </c>
      <c r="B28" s="31" t="s">
        <v>65</v>
      </c>
      <c r="C28" s="31"/>
      <c r="D28" s="32">
        <v>0</v>
      </c>
      <c r="E28" s="32">
        <v>0</v>
      </c>
      <c r="F28" s="32">
        <v>0</v>
      </c>
      <c r="G28" s="5"/>
      <c r="H28" s="33">
        <v>0</v>
      </c>
      <c r="I28" s="33">
        <v>0</v>
      </c>
      <c r="J28" s="7">
        <v>0</v>
      </c>
    </row>
    <row r="29" spans="1:10" x14ac:dyDescent="0.3">
      <c r="A29" s="35" t="s">
        <v>66</v>
      </c>
      <c r="B29" s="36"/>
      <c r="C29" s="36"/>
      <c r="D29" s="37">
        <f>SUM(D9:D28)</f>
        <v>668</v>
      </c>
      <c r="E29" s="37">
        <f t="shared" ref="E29:I29" si="2">SUM(E9:E28)</f>
        <v>1403.7</v>
      </c>
      <c r="F29" s="37">
        <f>SUM(F9:F28)/11</f>
        <v>26.072727272727274</v>
      </c>
      <c r="G29" s="37">
        <f t="shared" si="2"/>
        <v>0</v>
      </c>
      <c r="H29" s="37">
        <f t="shared" si="2"/>
        <v>459</v>
      </c>
      <c r="I29" s="37">
        <f t="shared" si="2"/>
        <v>635.44000000000005</v>
      </c>
      <c r="J29" s="38">
        <f>SUM(J9:J28)/5</f>
        <v>12.72</v>
      </c>
    </row>
    <row r="30" spans="1:10" x14ac:dyDescent="0.3">
      <c r="A30" s="39" t="s">
        <v>4</v>
      </c>
      <c r="B30" s="40"/>
      <c r="C30" s="40"/>
      <c r="D30" s="41">
        <v>2589</v>
      </c>
      <c r="E30" s="41">
        <v>9890</v>
      </c>
      <c r="F30" s="41">
        <v>38.479999999999997</v>
      </c>
      <c r="G30" s="41"/>
      <c r="H30" s="41">
        <v>572</v>
      </c>
      <c r="I30" s="41">
        <v>838.4</v>
      </c>
      <c r="J30" s="42">
        <v>13.75</v>
      </c>
    </row>
    <row r="31" spans="1:10" x14ac:dyDescent="0.3">
      <c r="A31" s="43" t="s">
        <v>1</v>
      </c>
      <c r="B31" s="3"/>
      <c r="C31" s="3"/>
      <c r="D31" s="31">
        <v>534.1</v>
      </c>
      <c r="E31" s="31">
        <v>582.55999999999995</v>
      </c>
      <c r="F31" s="31">
        <v>10.907320726455699</v>
      </c>
      <c r="G31" s="31"/>
      <c r="H31" s="31">
        <v>589.1</v>
      </c>
      <c r="I31" s="31">
        <v>661.44</v>
      </c>
      <c r="J31" s="44">
        <v>11.227974876930899</v>
      </c>
    </row>
    <row r="32" spans="1:10" x14ac:dyDescent="0.3">
      <c r="A32" s="43" t="s">
        <v>0</v>
      </c>
      <c r="B32" s="3"/>
      <c r="C32" s="3"/>
      <c r="D32" s="31">
        <v>1313.8</v>
      </c>
      <c r="E32" s="31">
        <v>1287.4422</v>
      </c>
      <c r="F32" s="31">
        <v>9.7993773785964304</v>
      </c>
      <c r="G32" s="31"/>
      <c r="H32" s="31">
        <v>2265.6</v>
      </c>
      <c r="I32" s="31">
        <v>2958.1709999999998</v>
      </c>
      <c r="J32" s="44">
        <v>13.0568988347458</v>
      </c>
    </row>
    <row r="33" spans="1:10" ht="15" thickBot="1" x14ac:dyDescent="0.35">
      <c r="A33" s="43" t="s">
        <v>67</v>
      </c>
      <c r="B33" s="3"/>
      <c r="C33" s="3"/>
      <c r="D33" s="31">
        <v>666.5</v>
      </c>
      <c r="E33" s="31">
        <v>619.31415224026603</v>
      </c>
      <c r="F33" s="31">
        <v>9.2899999999999991</v>
      </c>
      <c r="G33" s="31"/>
      <c r="H33" s="31">
        <v>55.5</v>
      </c>
      <c r="I33" s="31">
        <v>65.697199999999995</v>
      </c>
      <c r="J33" s="44">
        <v>11.84</v>
      </c>
    </row>
    <row r="34" spans="1:10" ht="15" thickTop="1" x14ac:dyDescent="0.3">
      <c r="A34" s="45" t="s">
        <v>68</v>
      </c>
      <c r="B34" s="11"/>
      <c r="C34" s="11"/>
      <c r="D34" s="11"/>
      <c r="E34" s="11"/>
      <c r="F34" s="11"/>
      <c r="G34" s="11"/>
      <c r="H34" s="11"/>
      <c r="I34" s="11"/>
      <c r="J34" s="11"/>
    </row>
    <row r="35" spans="1:10" ht="12.75" customHeight="1" x14ac:dyDescent="0.3"/>
    <row r="36" spans="1:10" ht="12.75" customHeight="1" x14ac:dyDescent="0.3"/>
    <row r="37" spans="1:10" ht="12.75" customHeight="1" x14ac:dyDescent="0.3"/>
    <row r="38" spans="1:10" ht="12.75" customHeight="1" x14ac:dyDescent="0.3"/>
    <row r="39" spans="1:10" ht="12.75" customHeight="1" x14ac:dyDescent="0.3"/>
    <row r="40" spans="1:10" ht="12.75" customHeight="1" x14ac:dyDescent="0.3"/>
    <row r="41" spans="1:10" ht="12.75" customHeight="1" x14ac:dyDescent="0.3"/>
    <row r="42" spans="1:10" ht="12.75" customHeight="1" x14ac:dyDescent="0.3"/>
    <row r="43" spans="1:10" ht="12.75" customHeight="1" x14ac:dyDescent="0.3"/>
    <row r="44" spans="1:10" ht="12.75" customHeight="1" x14ac:dyDescent="0.3"/>
    <row r="45" spans="1:10" ht="12.75" customHeight="1" x14ac:dyDescent="0.3"/>
    <row r="46" spans="1:10" ht="12.75" customHeight="1" x14ac:dyDescent="0.3"/>
    <row r="47" spans="1:10" ht="12.75" customHeight="1" x14ac:dyDescent="0.3"/>
    <row r="48" spans="1:10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mergeCells count="11">
    <mergeCell ref="A34:J34"/>
    <mergeCell ref="A33:C33"/>
    <mergeCell ref="A32:C32"/>
    <mergeCell ref="A31:C31"/>
    <mergeCell ref="A30:C30"/>
    <mergeCell ref="A29:C29"/>
    <mergeCell ref="A7:C7"/>
    <mergeCell ref="A3:C6"/>
    <mergeCell ref="D3:F3"/>
    <mergeCell ref="H3:J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2025-07-10T03:58:28Z</dcterms:created>
  <dcterms:modified xsi:type="dcterms:W3CDTF">2025-07-10T04:00:27Z</dcterms:modified>
</cp:coreProperties>
</file>