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94D60C5-E862-4418-A5A0-5C9652980E56}" xr6:coauthVersionLast="47" xr6:coauthVersionMax="47" xr10:uidLastSave="{00000000-0000-0000-0000-000000000000}"/>
  <bookViews>
    <workbookView xWindow="28680" yWindow="-120" windowWidth="29040" windowHeight="15720" xr2:uid="{BCB3C8E7-0A28-4899-9B99-6390B39CB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D29" i="1"/>
  <c r="F28" i="1"/>
  <c r="F27" i="1"/>
  <c r="F26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29" i="1" s="1"/>
</calcChain>
</file>

<file path=xl/sharedStrings.xml><?xml version="1.0" encoding="utf-8"?>
<sst xmlns="http://schemas.openxmlformats.org/spreadsheetml/2006/main" count="64" uniqueCount="64">
  <si>
    <t>Tahun 2018</t>
  </si>
  <si>
    <t>Tahun 2019</t>
  </si>
  <si>
    <t>Tabel : 5.1.1.</t>
  </si>
  <si>
    <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</si>
  <si>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2020</t>
  </si>
  <si>
    <t>Tahun 2021</t>
  </si>
  <si>
    <t>Table</t>
  </si>
  <si>
    <r>
      <t xml:space="preserve">Kecamatan                    </t>
    </r>
    <r>
      <rPr>
        <i/>
        <sz val="11"/>
        <color theme="1"/>
        <rFont val="Calibri"/>
        <family val="2"/>
      </rPr>
      <t>Subdistrict</t>
    </r>
  </si>
  <si>
    <r>
      <t xml:space="preserve">Total Padi                                                                                                                              </t>
    </r>
    <r>
      <rPr>
        <i/>
        <sz val="11"/>
        <color theme="1"/>
        <rFont val="Calibri"/>
        <family val="2"/>
      </rPr>
      <t>Total of Paddy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</si>
  <si>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</si>
  <si>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</si>
  <si>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</si>
  <si>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</si>
  <si>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</si>
  <si>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</si>
  <si>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</si>
  <si>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</si>
  <si>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</si>
  <si>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</si>
  <si>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(8)</t>
  </si>
  <si>
    <t>(9)</t>
  </si>
  <si>
    <t>(10)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</si>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</sst>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_);_(@_)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horizontal="left" shrinkToFit="1"/>
    </xf>
    <xf numFmtId="0" fontId="4" fillId="0" borderId="0" xfId="1" applyFont="1"/>
    <xf numFmtId="0" fontId="4" fillId="0" borderId="0" xfId="1" applyFont="1" applyAlignment="1">
      <alignment horizontal="center"/>
    </xf>
    <xf numFmtId="0" fontId="6" fillId="0" borderId="0" xfId="1" applyFont="1"/>
    <xf numFmtId="0" fontId="7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6" fillId="0" borderId="1" xfId="1" applyFont="1" applyBorder="1" applyAlignment="1">
      <alignment horizontal="center" vertical="center" wrapText="1"/>
    </xf>
    <xf numFmtId="0" fontId="5" fillId="0" borderId="1" xfId="1" applyFont="1" applyBorder="1"/>
    <xf numFmtId="0" fontId="6" fillId="0" borderId="2" xfId="1" applyFont="1" applyBorder="1" applyAlignment="1">
      <alignment horizontal="center" vertical="center" wrapText="1"/>
    </xf>
    <xf numFmtId="0" fontId="5" fillId="0" borderId="2" xfId="1" applyFont="1" applyBorder="1"/>
    <xf numFmtId="0" fontId="6" fillId="0" borderId="0" xfId="1" applyFont="1" applyAlignment="1">
      <alignment horizontal="center" wrapText="1"/>
    </xf>
    <xf numFmtId="0" fontId="6" fillId="0" borderId="3" xfId="1" applyFont="1" applyBorder="1" applyAlignment="1">
      <alignment horizontal="center" wrapText="1"/>
    </xf>
    <xf numFmtId="0" fontId="8" fillId="0" borderId="0" xfId="1" applyFont="1" applyAlignment="1">
      <alignment horizontal="center" vertical="top" wrapText="1"/>
    </xf>
    <xf numFmtId="0" fontId="5" fillId="0" borderId="4" xfId="1" applyFont="1" applyBorder="1"/>
    <xf numFmtId="0" fontId="6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5" fillId="0" borderId="5" xfId="1" applyFont="1" applyBorder="1"/>
    <xf numFmtId="0" fontId="6" fillId="0" borderId="5" xfId="1" applyFont="1" applyBorder="1" applyAlignment="1">
      <alignment horizontal="center" vertical="center"/>
    </xf>
    <xf numFmtId="0" fontId="6" fillId="0" borderId="3" xfId="1" applyFont="1" applyBorder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164" fontId="7" fillId="0" borderId="0" xfId="1" applyNumberFormat="1" applyFont="1" applyAlignment="1">
      <alignment horizontal="center"/>
    </xf>
    <xf numFmtId="164" fontId="6" fillId="0" borderId="3" xfId="1" applyNumberFormat="1" applyFont="1" applyBorder="1" applyAlignment="1">
      <alignment horizontal="left" vertical="center"/>
    </xf>
    <xf numFmtId="0" fontId="4" fillId="0" borderId="5" xfId="1" applyFont="1" applyBorder="1" applyAlignment="1">
      <alignment horizontal="center" vertical="center"/>
    </xf>
    <xf numFmtId="0" fontId="3" fillId="0" borderId="5" xfId="1" applyFont="1" applyBorder="1"/>
    <xf numFmtId="164" fontId="4" fillId="0" borderId="3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horizontal="center" vertical="center"/>
    </xf>
    <xf numFmtId="0" fontId="5" fillId="0" borderId="3" xfId="1" applyFont="1" applyBorder="1"/>
    <xf numFmtId="0" fontId="6" fillId="0" borderId="0" xfId="1" applyFont="1" applyAlignment="1">
      <alignment horizontal="center" vertical="center"/>
    </xf>
    <xf numFmtId="164" fontId="6" fillId="0" borderId="0" xfId="1" applyNumberFormat="1" applyFont="1" applyAlignment="1">
      <alignment horizontal="left" vertical="center"/>
    </xf>
    <xf numFmtId="0" fontId="6" fillId="0" borderId="6" xfId="1" applyFont="1" applyBorder="1" applyAlignment="1">
      <alignment horizontal="center" vertical="center"/>
    </xf>
    <xf numFmtId="0" fontId="5" fillId="0" borderId="6" xfId="1" applyFont="1" applyBorder="1"/>
    <xf numFmtId="164" fontId="6" fillId="0" borderId="6" xfId="1" applyNumberFormat="1" applyFont="1" applyBorder="1" applyAlignment="1">
      <alignment horizontal="left" vertical="center"/>
    </xf>
    <xf numFmtId="0" fontId="7" fillId="0" borderId="0" xfId="1" applyFont="1"/>
  </cellXfs>
  <cellStyles count="2">
    <cellStyle name="Normal" xfId="0" builtinId="0"/>
    <cellStyle name="Normal 4" xfId="1" xr:uid="{D0BA5F1D-E0BA-4A8F-A077-1D4BB7A42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5FA3-52F0-4AE5-8A57-B565A62FF88B}">
  <dimension ref="A1:F996"/>
  <sheetViews>
    <sheetView tabSelected="1" workbookViewId="0">
      <selection activeCell="I18" sqref="I18"/>
    </sheetView>
  </sheetViews>
  <sheetFormatPr defaultColWidth="14.44140625" defaultRowHeight="13.2" x14ac:dyDescent="0.25"/>
  <cols>
    <col min="1" max="1" width="3.77734375" style="6" customWidth="1"/>
    <col min="2" max="2" width="10" style="6" customWidth="1"/>
    <col min="3" max="3" width="4.77734375" style="6" customWidth="1"/>
    <col min="4" max="6" width="15.77734375" style="6" customWidth="1"/>
    <col min="7" max="16384" width="14.44140625" style="6"/>
  </cols>
  <sheetData>
    <row r="1" spans="1:6" ht="12.75" customHeight="1" x14ac:dyDescent="0.3">
      <c r="A1" s="1" t="s">
        <v>2</v>
      </c>
      <c r="B1" s="5"/>
      <c r="C1" s="2" t="s">
        <v>3</v>
      </c>
      <c r="D1" s="3"/>
      <c r="E1" s="3"/>
      <c r="F1" s="3" t="s">
        <v>5</v>
      </c>
    </row>
    <row r="2" spans="1:6" ht="19.5" customHeight="1" thickBot="1" x14ac:dyDescent="0.35">
      <c r="A2" s="7" t="s">
        <v>6</v>
      </c>
      <c r="B2" s="3"/>
      <c r="C2" s="3"/>
      <c r="D2" s="2"/>
      <c r="E2" s="2"/>
      <c r="F2" s="2"/>
    </row>
    <row r="3" spans="1:6" ht="31.5" customHeight="1" thickTop="1" x14ac:dyDescent="0.3">
      <c r="A3" s="8" t="s">
        <v>7</v>
      </c>
      <c r="B3" s="9"/>
      <c r="C3" s="9"/>
      <c r="D3" s="10" t="s">
        <v>8</v>
      </c>
      <c r="E3" s="11"/>
      <c r="F3" s="11"/>
    </row>
    <row r="4" spans="1:6" ht="12.75" customHeight="1" x14ac:dyDescent="0.3">
      <c r="A4" s="5"/>
      <c r="B4" s="5"/>
      <c r="C4" s="5"/>
      <c r="D4" s="12" t="s">
        <v>9</v>
      </c>
      <c r="E4" s="13" t="s">
        <v>10</v>
      </c>
      <c r="F4" s="12" t="s">
        <v>11</v>
      </c>
    </row>
    <row r="5" spans="1:6" ht="14.4" x14ac:dyDescent="0.25">
      <c r="A5" s="5"/>
      <c r="B5" s="5"/>
      <c r="C5" s="5"/>
      <c r="D5" s="14" t="s">
        <v>12</v>
      </c>
      <c r="E5" s="14" t="s">
        <v>13</v>
      </c>
      <c r="F5" s="14" t="s">
        <v>14</v>
      </c>
    </row>
    <row r="6" spans="1:6" ht="12.75" customHeight="1" x14ac:dyDescent="0.25">
      <c r="A6" s="15"/>
      <c r="B6" s="15"/>
      <c r="C6" s="15"/>
      <c r="D6" s="16" t="s">
        <v>15</v>
      </c>
      <c r="E6" s="16" t="s">
        <v>16</v>
      </c>
      <c r="F6" s="16" t="s">
        <v>17</v>
      </c>
    </row>
    <row r="7" spans="1:6" ht="14.25" customHeight="1" x14ac:dyDescent="0.3">
      <c r="A7" s="17" t="s">
        <v>18</v>
      </c>
      <c r="B7" s="18"/>
      <c r="C7" s="18"/>
      <c r="D7" s="19" t="s">
        <v>19</v>
      </c>
      <c r="E7" s="19" t="s">
        <v>20</v>
      </c>
      <c r="F7" s="19" t="s">
        <v>21</v>
      </c>
    </row>
    <row r="8" spans="1:6" ht="14.4" hidden="1" x14ac:dyDescent="0.3">
      <c r="A8" s="4"/>
      <c r="B8" s="20"/>
      <c r="C8" s="20"/>
      <c r="D8" s="20"/>
      <c r="E8" s="4"/>
      <c r="F8" s="4"/>
    </row>
    <row r="9" spans="1:6" ht="14.4" x14ac:dyDescent="0.3">
      <c r="A9" s="21" t="s">
        <v>22</v>
      </c>
      <c r="B9" s="22" t="s">
        <v>23</v>
      </c>
      <c r="C9" s="22"/>
      <c r="D9" s="23">
        <v>2670</v>
      </c>
      <c r="E9" s="23">
        <v>19323</v>
      </c>
      <c r="F9" s="23">
        <f>(E9/D9)*10</f>
        <v>72.370786516853926</v>
      </c>
    </row>
    <row r="10" spans="1:6" ht="14.4" x14ac:dyDescent="0.3">
      <c r="A10" s="21" t="s">
        <v>24</v>
      </c>
      <c r="B10" s="22" t="s">
        <v>25</v>
      </c>
      <c r="C10" s="22"/>
      <c r="D10" s="23">
        <v>1609</v>
      </c>
      <c r="E10" s="23">
        <v>11527.75</v>
      </c>
      <c r="F10" s="23">
        <f t="shared" ref="F10:F28" si="0">(E10/D10)*10</f>
        <v>71.645431945307635</v>
      </c>
    </row>
    <row r="11" spans="1:6" ht="14.4" x14ac:dyDescent="0.3">
      <c r="A11" s="21" t="s">
        <v>26</v>
      </c>
      <c r="B11" s="22" t="s">
        <v>27</v>
      </c>
      <c r="C11" s="22"/>
      <c r="D11" s="23">
        <v>3598</v>
      </c>
      <c r="E11" s="23">
        <v>28359.72</v>
      </c>
      <c r="F11" s="23">
        <f t="shared" si="0"/>
        <v>78.820789327404114</v>
      </c>
    </row>
    <row r="12" spans="1:6" ht="14.4" x14ac:dyDescent="0.3">
      <c r="A12" s="21" t="s">
        <v>28</v>
      </c>
      <c r="B12" s="22" t="s">
        <v>29</v>
      </c>
      <c r="C12" s="22"/>
      <c r="D12" s="23">
        <v>2699</v>
      </c>
      <c r="E12" s="23">
        <v>20709.8</v>
      </c>
      <c r="F12" s="23">
        <f t="shared" si="0"/>
        <v>76.731381993330857</v>
      </c>
    </row>
    <row r="13" spans="1:6" ht="14.4" x14ac:dyDescent="0.3">
      <c r="A13" s="21" t="s">
        <v>30</v>
      </c>
      <c r="B13" s="22" t="s">
        <v>31</v>
      </c>
      <c r="C13" s="22"/>
      <c r="D13" s="23">
        <v>2557</v>
      </c>
      <c r="E13" s="23">
        <v>17083.900000000001</v>
      </c>
      <c r="F13" s="23">
        <f t="shared" si="0"/>
        <v>66.812280015643339</v>
      </c>
    </row>
    <row r="14" spans="1:6" ht="14.4" x14ac:dyDescent="0.3">
      <c r="A14" s="21" t="s">
        <v>32</v>
      </c>
      <c r="B14" s="22" t="s">
        <v>33</v>
      </c>
      <c r="C14" s="22"/>
      <c r="D14" s="23">
        <v>837</v>
      </c>
      <c r="E14" s="23">
        <v>6026.4</v>
      </c>
      <c r="F14" s="23">
        <f t="shared" si="0"/>
        <v>72</v>
      </c>
    </row>
    <row r="15" spans="1:6" ht="14.4" x14ac:dyDescent="0.3">
      <c r="A15" s="21" t="s">
        <v>34</v>
      </c>
      <c r="B15" s="22" t="s">
        <v>35</v>
      </c>
      <c r="C15" s="22"/>
      <c r="D15" s="23">
        <v>313</v>
      </c>
      <c r="E15" s="23">
        <v>1940.6</v>
      </c>
      <c r="F15" s="23">
        <f t="shared" si="0"/>
        <v>61.999999999999993</v>
      </c>
    </row>
    <row r="16" spans="1:6" ht="14.4" x14ac:dyDescent="0.3">
      <c r="A16" s="21" t="s">
        <v>36</v>
      </c>
      <c r="B16" s="22" t="s">
        <v>37</v>
      </c>
      <c r="C16" s="22"/>
      <c r="D16" s="23">
        <v>347</v>
      </c>
      <c r="E16" s="23">
        <v>2706.6</v>
      </c>
      <c r="F16" s="23">
        <f t="shared" si="0"/>
        <v>78</v>
      </c>
    </row>
    <row r="17" spans="1:6" ht="14.4" x14ac:dyDescent="0.3">
      <c r="A17" s="21" t="s">
        <v>38</v>
      </c>
      <c r="B17" s="22" t="s">
        <v>39</v>
      </c>
      <c r="C17" s="22"/>
      <c r="D17" s="23">
        <v>1045</v>
      </c>
      <c r="E17" s="23">
        <v>5538.5</v>
      </c>
      <c r="F17" s="23">
        <f t="shared" si="0"/>
        <v>53</v>
      </c>
    </row>
    <row r="18" spans="1:6" ht="14.4" x14ac:dyDescent="0.3">
      <c r="A18" s="21" t="s">
        <v>40</v>
      </c>
      <c r="B18" s="22" t="s">
        <v>41</v>
      </c>
      <c r="C18" s="22"/>
      <c r="D18" s="23">
        <v>1235</v>
      </c>
      <c r="E18" s="23">
        <v>7101.25</v>
      </c>
      <c r="F18" s="23">
        <f t="shared" si="0"/>
        <v>57.5</v>
      </c>
    </row>
    <row r="19" spans="1:6" ht="14.4" x14ac:dyDescent="0.3">
      <c r="A19" s="21" t="s">
        <v>42</v>
      </c>
      <c r="B19" s="22" t="s">
        <v>43</v>
      </c>
      <c r="C19" s="22"/>
      <c r="D19" s="23">
        <v>1375</v>
      </c>
      <c r="E19" s="23">
        <v>10037.5</v>
      </c>
      <c r="F19" s="23">
        <f t="shared" si="0"/>
        <v>73</v>
      </c>
    </row>
    <row r="20" spans="1:6" ht="14.4" x14ac:dyDescent="0.3">
      <c r="A20" s="21" t="s">
        <v>44</v>
      </c>
      <c r="B20" s="22" t="s">
        <v>45</v>
      </c>
      <c r="C20" s="22"/>
      <c r="D20" s="23">
        <v>1613</v>
      </c>
      <c r="E20" s="23">
        <v>10553.08</v>
      </c>
      <c r="F20" s="23">
        <f t="shared" si="0"/>
        <v>65.425170489770622</v>
      </c>
    </row>
    <row r="21" spans="1:6" ht="14.4" x14ac:dyDescent="0.3">
      <c r="A21" s="21" t="s">
        <v>46</v>
      </c>
      <c r="B21" s="22" t="s">
        <v>47</v>
      </c>
      <c r="C21" s="22"/>
      <c r="D21" s="23">
        <v>1726</v>
      </c>
      <c r="E21" s="23">
        <v>10304.219999999999</v>
      </c>
      <c r="F21" s="23">
        <f t="shared" si="0"/>
        <v>59.699999999999996</v>
      </c>
    </row>
    <row r="22" spans="1:6" ht="14.4" x14ac:dyDescent="0.3">
      <c r="A22" s="21" t="s">
        <v>48</v>
      </c>
      <c r="B22" s="22" t="s">
        <v>49</v>
      </c>
      <c r="C22" s="22"/>
      <c r="D22" s="23">
        <v>594</v>
      </c>
      <c r="E22" s="23">
        <v>3623.4</v>
      </c>
      <c r="F22" s="23">
        <f t="shared" si="0"/>
        <v>61.000000000000007</v>
      </c>
    </row>
    <row r="23" spans="1:6" ht="14.4" x14ac:dyDescent="0.3">
      <c r="A23" s="21" t="s">
        <v>50</v>
      </c>
      <c r="B23" s="22" t="s">
        <v>51</v>
      </c>
      <c r="C23" s="22"/>
      <c r="D23" s="23">
        <v>484</v>
      </c>
      <c r="E23" s="23">
        <v>2032.8</v>
      </c>
      <c r="F23" s="23">
        <f t="shared" si="0"/>
        <v>42</v>
      </c>
    </row>
    <row r="24" spans="1:6" ht="14.4" x14ac:dyDescent="0.3">
      <c r="A24" s="21" t="s">
        <v>52</v>
      </c>
      <c r="B24" s="22" t="s">
        <v>53</v>
      </c>
      <c r="C24" s="22"/>
      <c r="D24" s="23">
        <v>191</v>
      </c>
      <c r="E24" s="23">
        <v>821.3</v>
      </c>
      <c r="F24" s="23">
        <f t="shared" si="0"/>
        <v>43</v>
      </c>
    </row>
    <row r="25" spans="1:6" ht="14.4" x14ac:dyDescent="0.3">
      <c r="A25" s="21" t="s">
        <v>54</v>
      </c>
      <c r="B25" s="22" t="s">
        <v>55</v>
      </c>
      <c r="C25" s="22"/>
      <c r="D25" s="23">
        <v>0</v>
      </c>
      <c r="E25" s="23">
        <v>0</v>
      </c>
      <c r="F25" s="23">
        <v>0</v>
      </c>
    </row>
    <row r="26" spans="1:6" ht="14.4" x14ac:dyDescent="0.3">
      <c r="A26" s="21" t="s">
        <v>56</v>
      </c>
      <c r="B26" s="22" t="s">
        <v>57</v>
      </c>
      <c r="C26" s="22"/>
      <c r="D26" s="23">
        <v>163</v>
      </c>
      <c r="E26" s="23">
        <v>652</v>
      </c>
      <c r="F26" s="23">
        <f t="shared" si="0"/>
        <v>40</v>
      </c>
    </row>
    <row r="27" spans="1:6" ht="14.4" x14ac:dyDescent="0.3">
      <c r="A27" s="21" t="s">
        <v>58</v>
      </c>
      <c r="B27" s="22" t="s">
        <v>59</v>
      </c>
      <c r="C27" s="22"/>
      <c r="D27" s="23">
        <v>1403</v>
      </c>
      <c r="E27" s="23">
        <v>7435.9</v>
      </c>
      <c r="F27" s="23">
        <f t="shared" si="0"/>
        <v>53</v>
      </c>
    </row>
    <row r="28" spans="1:6" ht="14.4" x14ac:dyDescent="0.3">
      <c r="A28" s="21" t="s">
        <v>60</v>
      </c>
      <c r="B28" s="22" t="s">
        <v>61</v>
      </c>
      <c r="C28" s="22"/>
      <c r="D28" s="23">
        <v>672</v>
      </c>
      <c r="E28" s="23">
        <v>3427.2</v>
      </c>
      <c r="F28" s="23">
        <f t="shared" si="0"/>
        <v>51</v>
      </c>
    </row>
    <row r="29" spans="1:6" ht="14.4" x14ac:dyDescent="0.3">
      <c r="A29" s="25" t="s">
        <v>62</v>
      </c>
      <c r="B29" s="26"/>
      <c r="C29" s="26"/>
      <c r="D29" s="27">
        <f>SUM(D9:D28)</f>
        <v>25131</v>
      </c>
      <c r="E29" s="27">
        <f t="shared" ref="E29" si="1">SUM(E9:E28)</f>
        <v>169204.91999999998</v>
      </c>
      <c r="F29" s="27">
        <f>SUM(F9:F28)/19</f>
        <v>61.947675804647922</v>
      </c>
    </row>
    <row r="30" spans="1:6" ht="14.4" x14ac:dyDescent="0.3">
      <c r="A30" s="28" t="s">
        <v>4</v>
      </c>
      <c r="B30" s="29"/>
      <c r="C30" s="29"/>
      <c r="D30" s="24">
        <v>24322</v>
      </c>
      <c r="E30" s="24">
        <v>171146</v>
      </c>
      <c r="F30" s="24">
        <v>66.540000000000006</v>
      </c>
    </row>
    <row r="31" spans="1:6" ht="14.4" x14ac:dyDescent="0.3">
      <c r="A31" s="30" t="s">
        <v>1</v>
      </c>
      <c r="B31" s="5"/>
      <c r="C31" s="5"/>
      <c r="D31" s="31">
        <v>24178.5</v>
      </c>
      <c r="E31" s="31">
        <v>170541.7</v>
      </c>
      <c r="F31" s="31">
        <v>70.534441756105593</v>
      </c>
    </row>
    <row r="32" spans="1:6" ht="14.4" x14ac:dyDescent="0.3">
      <c r="A32" s="30" t="s">
        <v>0</v>
      </c>
      <c r="B32" s="5"/>
      <c r="C32" s="5"/>
      <c r="D32" s="31">
        <v>25688.799999999999</v>
      </c>
      <c r="E32" s="31">
        <v>154287.87660456201</v>
      </c>
      <c r="F32" s="31">
        <v>60.060367399240803</v>
      </c>
    </row>
    <row r="33" spans="1:6" ht="15" thickBot="1" x14ac:dyDescent="0.35">
      <c r="A33" s="32" t="s">
        <v>63</v>
      </c>
      <c r="B33" s="33"/>
      <c r="C33" s="33"/>
      <c r="D33" s="34">
        <v>25742.6</v>
      </c>
      <c r="E33" s="34">
        <v>151827</v>
      </c>
      <c r="F33" s="34">
        <v>58.98</v>
      </c>
    </row>
    <row r="34" spans="1:6" ht="15" thickTop="1" x14ac:dyDescent="0.3">
      <c r="A34" s="4"/>
      <c r="B34" s="4"/>
      <c r="C34" s="4"/>
      <c r="D34" s="4"/>
      <c r="E34" s="4"/>
      <c r="F34" s="35"/>
    </row>
    <row r="35" spans="1:6" ht="12.75" customHeight="1" x14ac:dyDescent="0.3">
      <c r="A35" s="4"/>
      <c r="B35" s="4"/>
      <c r="C35" s="4"/>
    </row>
    <row r="36" spans="1:6" ht="12.75" customHeight="1" x14ac:dyDescent="0.3">
      <c r="A36" s="4"/>
      <c r="B36" s="4"/>
      <c r="C36" s="4"/>
    </row>
    <row r="37" spans="1:6" ht="12.75" customHeight="1" x14ac:dyDescent="0.3">
      <c r="A37" s="4"/>
      <c r="B37" s="4"/>
      <c r="C37" s="4"/>
    </row>
    <row r="38" spans="1:6" ht="12.75" customHeight="1" x14ac:dyDescent="0.3">
      <c r="A38" s="4"/>
      <c r="B38" s="4"/>
      <c r="C38" s="4"/>
    </row>
    <row r="39" spans="1:6" ht="12.75" customHeight="1" x14ac:dyDescent="0.3">
      <c r="A39" s="4"/>
      <c r="B39" s="4"/>
      <c r="C39" s="4"/>
    </row>
    <row r="40" spans="1:6" ht="12.75" customHeight="1" x14ac:dyDescent="0.3">
      <c r="A40" s="4"/>
      <c r="B40" s="4"/>
      <c r="C40" s="4"/>
      <c r="D40" s="4"/>
      <c r="E40" s="4"/>
    </row>
    <row r="41" spans="1:6" ht="12.75" customHeight="1" x14ac:dyDescent="0.3">
      <c r="A41" s="4"/>
      <c r="B41" s="4"/>
      <c r="C41" s="4"/>
      <c r="D41" s="4"/>
      <c r="E41" s="4"/>
    </row>
    <row r="42" spans="1:6" ht="12.75" customHeight="1" x14ac:dyDescent="0.3">
      <c r="A42" s="4"/>
      <c r="B42" s="4"/>
      <c r="C42" s="4"/>
      <c r="D42" s="4"/>
      <c r="E42" s="4"/>
    </row>
    <row r="43" spans="1:6" ht="12.75" customHeight="1" x14ac:dyDescent="0.3">
      <c r="A43" s="4"/>
      <c r="B43" s="4"/>
      <c r="C43" s="4"/>
      <c r="D43" s="4"/>
      <c r="E43" s="4"/>
    </row>
    <row r="44" spans="1:6" ht="12.75" customHeight="1" x14ac:dyDescent="0.3">
      <c r="A44" s="4"/>
      <c r="B44" s="4"/>
      <c r="C44" s="4"/>
      <c r="D44" s="4"/>
      <c r="E44" s="4"/>
    </row>
    <row r="45" spans="1:6" ht="12.75" customHeight="1" x14ac:dyDescent="0.3">
      <c r="A45" s="4"/>
      <c r="B45" s="4"/>
      <c r="C45" s="4"/>
      <c r="D45" s="4"/>
      <c r="E45" s="4"/>
    </row>
    <row r="46" spans="1:6" ht="12.75" customHeight="1" x14ac:dyDescent="0.25"/>
    <row r="47" spans="1:6" ht="12.75" customHeight="1" x14ac:dyDescent="0.25"/>
    <row r="48" spans="1: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9">
    <mergeCell ref="A33:C33"/>
    <mergeCell ref="A32:C32"/>
    <mergeCell ref="A31:C31"/>
    <mergeCell ref="A29:C29"/>
    <mergeCell ref="A30:C30"/>
    <mergeCell ref="A7:C7"/>
    <mergeCell ref="A3:C6"/>
    <mergeCell ref="D3:F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2025-07-10T03:48:54Z</dcterms:created>
  <dcterms:modified xsi:type="dcterms:W3CDTF">2025-07-10T03:50:45Z</dcterms:modified>
</cp:coreProperties>
</file>