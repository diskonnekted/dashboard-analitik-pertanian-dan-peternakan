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358FE6F-D1D5-409B-8139-6895BA0D4B95}" xr6:coauthVersionLast="47" xr6:coauthVersionMax="47" xr10:uidLastSave="{00000000-0000-0000-0000-000000000000}"/>
  <bookViews>
    <workbookView xWindow="28680" yWindow="-120" windowWidth="29040" windowHeight="15720" xr2:uid="{8288D006-D1FD-4A14-AE6B-1B8135A50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H33" i="1"/>
  <c r="E33" i="1"/>
  <c r="D33" i="1"/>
  <c r="F32" i="1"/>
  <c r="F31" i="1"/>
  <c r="F30" i="1"/>
  <c r="F28" i="1"/>
  <c r="F27" i="1"/>
  <c r="F26" i="1"/>
  <c r="F25" i="1"/>
  <c r="F24" i="1"/>
  <c r="F23" i="1"/>
  <c r="F22" i="1"/>
  <c r="F21" i="1"/>
  <c r="F20" i="1"/>
  <c r="F19" i="1"/>
  <c r="F18" i="1"/>
  <c r="J17" i="1"/>
  <c r="F17" i="1"/>
  <c r="J16" i="1"/>
  <c r="F16" i="1"/>
  <c r="J15" i="1"/>
  <c r="F15" i="1"/>
  <c r="J14" i="1"/>
  <c r="F14" i="1"/>
  <c r="J13" i="1"/>
  <c r="F13" i="1"/>
  <c r="J33" i="1" l="1"/>
  <c r="F33" i="1"/>
</calcChain>
</file>

<file path=xl/sharedStrings.xml><?xml version="1.0" encoding="utf-8"?>
<sst xmlns="http://schemas.openxmlformats.org/spreadsheetml/2006/main" count="81" uniqueCount="72">
  <si>
    <t>Tabel : 5.1.1.</t>
  </si>
  <si>
    <t>Luas  Panen,  Produksi dan Rata-rata Produksi</t>
  </si>
  <si>
    <t>Table</t>
  </si>
  <si>
    <t>Tanaman Pangan di Kab. Banjarnegara Menurut</t>
  </si>
  <si>
    <t>Kecamatan dan Jenis Tanaman Tahun 2020</t>
  </si>
  <si>
    <t>Harvested Area, Production, and Yield Rate of Food Crops</t>
  </si>
  <si>
    <t>by Subdistrict and Commodity in Banjarnegara 2020</t>
  </si>
  <si>
    <r>
      <t xml:space="preserve">Kecamatan                    </t>
    </r>
    <r>
      <rPr>
        <i/>
        <sz val="11"/>
        <color theme="1"/>
        <rFont val="Calibri"/>
        <family val="2"/>
      </rPr>
      <t>Subdistrict</t>
    </r>
  </si>
  <si>
    <r>
      <t xml:space="preserve">Padi Sawah                                                        </t>
    </r>
    <r>
      <rPr>
        <i/>
        <sz val="11"/>
        <color theme="1"/>
        <rFont val="Calibri"/>
        <family val="2"/>
      </rPr>
      <t>Rice Field Paddy</t>
    </r>
  </si>
  <si>
    <r>
      <t xml:space="preserve">Padi Ladang                                               </t>
    </r>
    <r>
      <rPr>
        <i/>
        <sz val="11"/>
        <color theme="1"/>
        <rFont val="Calibri"/>
        <family val="2"/>
      </rPr>
      <t>Farm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</si>
  <si>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</si>
  <si>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</si>
  <si>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</si>
  <si>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</si>
  <si>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</si>
  <si>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</si>
  <si>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</si>
  <si>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</si>
  <si>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(Kw/Ha)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</si>
  <si>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</si>
  <si>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</si>
  <si>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</si>
  <si>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</si>
  <si>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</si>
  <si>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</si>
  <si>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</si>
  <si>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</si>
  <si>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</si>
  <si>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</si>
  <si>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</si>
  <si>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</si>
  <si>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</si>
  <si>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</si>
  <si>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</si>
  <si>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</si>
  <si>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</si>
  <si>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</si>
  <si>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</si>
  <si>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</si>
  <si>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</si>
  <si>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</si>
  <si>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</si>
  <si>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</si>
  <si>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</si>
  <si>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</si>
  <si>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</si>
  <si>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</si>
  <si>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</si>
  <si>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</si>
  <si>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</si>
  <si>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</si>
  <si>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</si>
  <si>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</si>
  <si>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</si>
  <si>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</si>
  <si>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</si>
  <si>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</si>
  <si>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</si>
  <si>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</si>
  <si>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</si>
  <si>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</si>
  <si>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</si>
  <si>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</si>
  <si>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</si>
  <si>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</si>
  <si>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</si>
  <si>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</si>
  <si>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</si>
  <si>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</si>
  <si>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2019</t>
  </si>
  <si>
    <t>Tahun 2016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</si>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</sst>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(* #,##0.00_);_(* \(#,##0.00\);_(* \-_);_(@_)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/>
    <xf numFmtId="0" fontId="7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9" fillId="0" borderId="4" xfId="1" applyFont="1" applyBorder="1"/>
    <xf numFmtId="0" fontId="4" fillId="0" borderId="0" xfId="1" applyFont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0" fontId="1" fillId="0" borderId="0" xfId="1" applyAlignment="1">
      <alignment vertical="top"/>
    </xf>
    <xf numFmtId="0" fontId="4" fillId="0" borderId="5" xfId="1" applyFont="1" applyBorder="1" applyAlignment="1">
      <alignment horizontal="center" vertical="center"/>
    </xf>
    <xf numFmtId="0" fontId="9" fillId="0" borderId="5" xfId="1" applyFont="1" applyBorder="1"/>
    <xf numFmtId="0" fontId="4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166" fontId="4" fillId="0" borderId="0" xfId="1" applyNumberFormat="1" applyFont="1"/>
    <xf numFmtId="0" fontId="3" fillId="0" borderId="5" xfId="1" applyFont="1" applyBorder="1" applyAlignment="1">
      <alignment horizontal="center" vertical="center"/>
    </xf>
    <xf numFmtId="0" fontId="5" fillId="0" borderId="5" xfId="1" applyFont="1" applyBorder="1"/>
    <xf numFmtId="165" fontId="3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left" vertical="center"/>
    </xf>
    <xf numFmtId="165" fontId="4" fillId="2" borderId="3" xfId="1" applyNumberFormat="1" applyFont="1" applyFill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0" fontId="4" fillId="0" borderId="1" xfId="1" applyFont="1" applyBorder="1"/>
    <xf numFmtId="0" fontId="4" fillId="0" borderId="0" xfId="1" applyFont="1" applyAlignment="1">
      <alignment vertical="top"/>
    </xf>
  </cellXfs>
  <cellStyles count="3">
    <cellStyle name="Comma [0] 3" xfId="2" xr:uid="{675ECF30-4BD1-422A-A8D8-77A84F0A988C}"/>
    <cellStyle name="Normal" xfId="0" builtinId="0"/>
    <cellStyle name="Normal 4" xfId="1" xr:uid="{A3F568A8-1492-4A72-B163-A14BB4228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7E1C-0D8E-4A41-A8CB-C0EA6AE79042}">
  <dimension ref="A1:BJ1000"/>
  <sheetViews>
    <sheetView tabSelected="1" workbookViewId="0">
      <selection activeCell="C1" sqref="C1:J1"/>
    </sheetView>
  </sheetViews>
  <sheetFormatPr defaultColWidth="14.44140625" defaultRowHeight="13.2" x14ac:dyDescent="0.25"/>
  <cols>
    <col min="1" max="1" width="3.44140625" style="4" customWidth="1"/>
    <col min="2" max="2" width="8.77734375" style="4" customWidth="1"/>
    <col min="3" max="3" width="5.21875" style="4" customWidth="1"/>
    <col min="4" max="4" width="11.21875" style="4" customWidth="1"/>
    <col min="5" max="5" width="12.77734375" style="4" customWidth="1"/>
    <col min="6" max="6" width="10.5546875" style="4" customWidth="1"/>
    <col min="7" max="7" width="0.5546875" style="4" hidden="1" customWidth="1"/>
    <col min="8" max="8" width="9.77734375" style="4" customWidth="1"/>
    <col min="9" max="9" width="10.5546875" style="4" customWidth="1"/>
    <col min="10" max="10" width="8.77734375" style="4" customWidth="1"/>
    <col min="11" max="16384" width="14.44140625" style="4"/>
  </cols>
  <sheetData>
    <row r="1" spans="1:10" ht="12.75" customHeight="1" x14ac:dyDescent="0.3">
      <c r="A1" s="1" t="s">
        <v>0</v>
      </c>
      <c r="B1" s="5"/>
      <c r="C1" s="2" t="s">
        <v>1</v>
      </c>
      <c r="D1" s="5"/>
      <c r="E1" s="5"/>
      <c r="F1" s="5"/>
      <c r="G1" s="5"/>
      <c r="H1" s="5"/>
      <c r="I1" s="5"/>
      <c r="J1" s="5"/>
    </row>
    <row r="2" spans="1:10" ht="12.75" customHeight="1" x14ac:dyDescent="0.3">
      <c r="A2" s="6" t="s">
        <v>2</v>
      </c>
      <c r="B2" s="7"/>
      <c r="C2" s="8" t="s">
        <v>3</v>
      </c>
      <c r="D2" s="8"/>
      <c r="E2" s="8"/>
      <c r="F2" s="8"/>
      <c r="G2" s="8"/>
      <c r="H2" s="8"/>
      <c r="I2" s="8"/>
      <c r="J2" s="8"/>
    </row>
    <row r="3" spans="1:10" ht="12.75" customHeight="1" x14ac:dyDescent="0.3">
      <c r="A3" s="7"/>
      <c r="B3" s="7"/>
      <c r="C3" s="8" t="s">
        <v>4</v>
      </c>
      <c r="D3" s="5"/>
      <c r="E3" s="5"/>
      <c r="F3" s="5"/>
      <c r="G3" s="5"/>
      <c r="H3" s="5"/>
      <c r="I3" s="5"/>
      <c r="J3" s="5"/>
    </row>
    <row r="4" spans="1:10" ht="12.75" customHeight="1" x14ac:dyDescent="0.3">
      <c r="A4" s="7"/>
      <c r="B4" s="7"/>
      <c r="C4" s="9" t="s">
        <v>5</v>
      </c>
      <c r="D4" s="5"/>
      <c r="E4" s="5"/>
      <c r="F4" s="5"/>
      <c r="G4" s="5"/>
      <c r="H4" s="5"/>
      <c r="I4" s="5"/>
      <c r="J4" s="5"/>
    </row>
    <row r="5" spans="1:10" ht="12.75" customHeight="1" thickBot="1" x14ac:dyDescent="0.35">
      <c r="A5" s="3"/>
      <c r="B5" s="3"/>
      <c r="C5" s="9" t="s">
        <v>6</v>
      </c>
      <c r="D5" s="5"/>
      <c r="E5" s="5"/>
      <c r="F5" s="5"/>
      <c r="G5" s="5"/>
      <c r="H5" s="5"/>
      <c r="I5" s="5"/>
      <c r="J5" s="5"/>
    </row>
    <row r="6" spans="1:10" ht="6.75" hidden="1" customHeight="1" thickBo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26.25" customHeight="1" thickTop="1" x14ac:dyDescent="0.3">
      <c r="A7" s="11" t="s">
        <v>7</v>
      </c>
      <c r="B7" s="12"/>
      <c r="C7" s="12"/>
      <c r="D7" s="13" t="s">
        <v>8</v>
      </c>
      <c r="E7" s="14"/>
      <c r="F7" s="14"/>
      <c r="G7" s="15"/>
      <c r="H7" s="13" t="s">
        <v>9</v>
      </c>
      <c r="I7" s="14"/>
      <c r="J7" s="14"/>
    </row>
    <row r="8" spans="1:10" ht="12.75" customHeight="1" x14ac:dyDescent="0.3">
      <c r="A8" s="5"/>
      <c r="B8" s="5"/>
      <c r="C8" s="5"/>
      <c r="D8" s="16" t="s">
        <v>10</v>
      </c>
      <c r="E8" s="17" t="s">
        <v>11</v>
      </c>
      <c r="F8" s="16" t="s">
        <v>12</v>
      </c>
      <c r="G8" s="16"/>
      <c r="H8" s="16" t="s">
        <v>10</v>
      </c>
      <c r="I8" s="17" t="s">
        <v>11</v>
      </c>
      <c r="J8" s="16" t="s">
        <v>12</v>
      </c>
    </row>
    <row r="9" spans="1:10" ht="28.8" x14ac:dyDescent="0.25">
      <c r="A9" s="5"/>
      <c r="B9" s="5"/>
      <c r="C9" s="5"/>
      <c r="D9" s="18" t="s">
        <v>13</v>
      </c>
      <c r="E9" s="18" t="s">
        <v>14</v>
      </c>
      <c r="F9" s="18" t="s">
        <v>15</v>
      </c>
      <c r="G9" s="18"/>
      <c r="H9" s="18" t="s">
        <v>13</v>
      </c>
      <c r="I9" s="18" t="s">
        <v>14</v>
      </c>
      <c r="J9" s="18" t="s">
        <v>15</v>
      </c>
    </row>
    <row r="10" spans="1:10" s="22" customFormat="1" ht="18.75" customHeight="1" x14ac:dyDescent="0.3">
      <c r="A10" s="19"/>
      <c r="B10" s="19"/>
      <c r="C10" s="19"/>
      <c r="D10" s="20" t="s">
        <v>16</v>
      </c>
      <c r="E10" s="20" t="s">
        <v>17</v>
      </c>
      <c r="F10" s="20" t="s">
        <v>18</v>
      </c>
      <c r="G10" s="21"/>
      <c r="H10" s="20" t="s">
        <v>16</v>
      </c>
      <c r="I10" s="20" t="s">
        <v>17</v>
      </c>
      <c r="J10" s="20" t="s">
        <v>18</v>
      </c>
    </row>
    <row r="11" spans="1:10" ht="14.4" x14ac:dyDescent="0.3">
      <c r="A11" s="23" t="s">
        <v>19</v>
      </c>
      <c r="B11" s="24"/>
      <c r="C11" s="24"/>
      <c r="D11" s="25" t="s">
        <v>20</v>
      </c>
      <c r="E11" s="25" t="s">
        <v>21</v>
      </c>
      <c r="F11" s="25" t="s">
        <v>22</v>
      </c>
      <c r="G11" s="25"/>
      <c r="H11" s="25" t="s">
        <v>23</v>
      </c>
      <c r="I11" s="25" t="s">
        <v>24</v>
      </c>
      <c r="J11" s="25" t="s">
        <v>25</v>
      </c>
    </row>
    <row r="12" spans="1:10" ht="0.75" customHeight="1" x14ac:dyDescent="0.3">
      <c r="A12" s="3"/>
      <c r="B12" s="26"/>
      <c r="C12" s="26"/>
      <c r="D12" s="26"/>
      <c r="E12" s="3"/>
      <c r="F12" s="3"/>
      <c r="G12" s="3"/>
      <c r="H12" s="3"/>
      <c r="I12" s="3"/>
      <c r="J12" s="3"/>
    </row>
    <row r="13" spans="1:10" ht="14.4" x14ac:dyDescent="0.25">
      <c r="A13" s="27" t="s">
        <v>26</v>
      </c>
      <c r="B13" s="28" t="s">
        <v>27</v>
      </c>
      <c r="C13" s="28"/>
      <c r="D13" s="29">
        <v>1981</v>
      </c>
      <c r="E13" s="29">
        <v>14065</v>
      </c>
      <c r="F13" s="29">
        <f t="shared" ref="F13:F28" si="0">E13/D13*10</f>
        <v>70.999495204442198</v>
      </c>
      <c r="G13" s="30"/>
      <c r="H13" s="29">
        <v>210</v>
      </c>
      <c r="I13" s="29">
        <v>1050</v>
      </c>
      <c r="J13" s="29">
        <f t="shared" ref="J13:J17" si="1">I13/H13*10</f>
        <v>50</v>
      </c>
    </row>
    <row r="14" spans="1:10" ht="14.4" x14ac:dyDescent="0.25">
      <c r="A14" s="27" t="s">
        <v>28</v>
      </c>
      <c r="B14" s="28" t="s">
        <v>29</v>
      </c>
      <c r="C14" s="28"/>
      <c r="D14" s="29">
        <v>1543</v>
      </c>
      <c r="E14" s="29">
        <v>11187</v>
      </c>
      <c r="F14" s="29">
        <f t="shared" si="0"/>
        <v>72.501620220349963</v>
      </c>
      <c r="G14" s="30"/>
      <c r="H14" s="29">
        <v>35</v>
      </c>
      <c r="I14" s="29">
        <v>175</v>
      </c>
      <c r="J14" s="29">
        <f t="shared" si="1"/>
        <v>50</v>
      </c>
    </row>
    <row r="15" spans="1:10" ht="14.4" x14ac:dyDescent="0.25">
      <c r="A15" s="27" t="s">
        <v>30</v>
      </c>
      <c r="B15" s="28" t="s">
        <v>31</v>
      </c>
      <c r="C15" s="28"/>
      <c r="D15" s="29">
        <v>3186</v>
      </c>
      <c r="E15" s="29">
        <v>25934</v>
      </c>
      <c r="F15" s="29">
        <f t="shared" si="0"/>
        <v>81.39987445072191</v>
      </c>
      <c r="G15" s="30"/>
      <c r="H15" s="29">
        <v>290</v>
      </c>
      <c r="I15" s="29">
        <v>1450</v>
      </c>
      <c r="J15" s="29">
        <f t="shared" si="1"/>
        <v>50</v>
      </c>
    </row>
    <row r="16" spans="1:10" ht="14.4" x14ac:dyDescent="0.25">
      <c r="A16" s="27" t="s">
        <v>32</v>
      </c>
      <c r="B16" s="28" t="s">
        <v>33</v>
      </c>
      <c r="C16" s="28"/>
      <c r="D16" s="29">
        <v>2605</v>
      </c>
      <c r="E16" s="29">
        <v>20580</v>
      </c>
      <c r="F16" s="29">
        <f t="shared" si="0"/>
        <v>79.00191938579654</v>
      </c>
      <c r="G16" s="30"/>
      <c r="H16" s="29">
        <v>130</v>
      </c>
      <c r="I16" s="29">
        <v>650</v>
      </c>
      <c r="J16" s="29">
        <f t="shared" si="1"/>
        <v>50</v>
      </c>
    </row>
    <row r="17" spans="1:10" ht="14.4" x14ac:dyDescent="0.25">
      <c r="A17" s="27" t="s">
        <v>34</v>
      </c>
      <c r="B17" s="28" t="s">
        <v>35</v>
      </c>
      <c r="C17" s="28"/>
      <c r="D17" s="29">
        <v>2016</v>
      </c>
      <c r="E17" s="29">
        <v>15523</v>
      </c>
      <c r="F17" s="29">
        <f t="shared" si="0"/>
        <v>76.999007936507937</v>
      </c>
      <c r="G17" s="30"/>
      <c r="H17" s="29">
        <v>75</v>
      </c>
      <c r="I17" s="29">
        <v>375</v>
      </c>
      <c r="J17" s="29">
        <f t="shared" si="1"/>
        <v>50</v>
      </c>
    </row>
    <row r="18" spans="1:10" ht="14.4" x14ac:dyDescent="0.25">
      <c r="A18" s="27" t="s">
        <v>36</v>
      </c>
      <c r="B18" s="28" t="s">
        <v>37</v>
      </c>
      <c r="C18" s="28"/>
      <c r="D18" s="29">
        <v>857</v>
      </c>
      <c r="E18" s="29">
        <v>6170</v>
      </c>
      <c r="F18" s="29">
        <f t="shared" si="0"/>
        <v>71.995332555425904</v>
      </c>
      <c r="G18" s="30"/>
      <c r="H18" s="29">
        <v>0</v>
      </c>
      <c r="I18" s="29">
        <v>0</v>
      </c>
      <c r="J18" s="29">
        <v>0</v>
      </c>
    </row>
    <row r="19" spans="1:10" ht="14.4" x14ac:dyDescent="0.25">
      <c r="A19" s="27" t="s">
        <v>38</v>
      </c>
      <c r="B19" s="28" t="s">
        <v>39</v>
      </c>
      <c r="C19" s="28"/>
      <c r="D19" s="29">
        <v>295</v>
      </c>
      <c r="E19" s="29">
        <v>2130</v>
      </c>
      <c r="F19" s="29">
        <f t="shared" si="0"/>
        <v>72.203389830508485</v>
      </c>
      <c r="G19" s="30"/>
      <c r="H19" s="29">
        <v>0</v>
      </c>
      <c r="I19" s="29">
        <v>0</v>
      </c>
      <c r="J19" s="29">
        <v>0</v>
      </c>
    </row>
    <row r="20" spans="1:10" ht="14.4" x14ac:dyDescent="0.25">
      <c r="A20" s="27" t="s">
        <v>40</v>
      </c>
      <c r="B20" s="28" t="s">
        <v>41</v>
      </c>
      <c r="C20" s="28"/>
      <c r="D20" s="29">
        <v>307</v>
      </c>
      <c r="E20" s="29">
        <v>2395</v>
      </c>
      <c r="F20" s="29">
        <f t="shared" si="0"/>
        <v>78.013029315960921</v>
      </c>
      <c r="G20" s="30"/>
      <c r="H20" s="29">
        <v>0</v>
      </c>
      <c r="I20" s="29">
        <v>0</v>
      </c>
      <c r="J20" s="29">
        <v>0</v>
      </c>
    </row>
    <row r="21" spans="1:10" ht="14.4" x14ac:dyDescent="0.25">
      <c r="A21" s="27" t="s">
        <v>42</v>
      </c>
      <c r="B21" s="28" t="s">
        <v>43</v>
      </c>
      <c r="C21" s="28"/>
      <c r="D21" s="29">
        <v>1183</v>
      </c>
      <c r="E21" s="29">
        <v>8636</v>
      </c>
      <c r="F21" s="29">
        <f t="shared" si="0"/>
        <v>73.00084530853762</v>
      </c>
      <c r="G21" s="30"/>
      <c r="H21" s="29">
        <v>0</v>
      </c>
      <c r="I21" s="29">
        <v>0</v>
      </c>
      <c r="J21" s="29">
        <v>0</v>
      </c>
    </row>
    <row r="22" spans="1:10" ht="14.4" x14ac:dyDescent="0.25">
      <c r="A22" s="27" t="s">
        <v>44</v>
      </c>
      <c r="B22" s="28" t="s">
        <v>45</v>
      </c>
      <c r="C22" s="28"/>
      <c r="D22" s="29">
        <v>1102</v>
      </c>
      <c r="E22" s="29">
        <v>7769</v>
      </c>
      <c r="F22" s="29">
        <f t="shared" si="0"/>
        <v>70.499092558983676</v>
      </c>
      <c r="G22" s="30"/>
      <c r="H22" s="29">
        <v>0</v>
      </c>
      <c r="I22" s="29">
        <v>0</v>
      </c>
      <c r="J22" s="29">
        <v>0</v>
      </c>
    </row>
    <row r="23" spans="1:10" ht="14.4" x14ac:dyDescent="0.25">
      <c r="A23" s="27" t="s">
        <v>46</v>
      </c>
      <c r="B23" s="28" t="s">
        <v>47</v>
      </c>
      <c r="C23" s="28"/>
      <c r="D23" s="29">
        <v>1521</v>
      </c>
      <c r="E23" s="29">
        <v>11103</v>
      </c>
      <c r="F23" s="29">
        <f t="shared" si="0"/>
        <v>72.998027613412233</v>
      </c>
      <c r="G23" s="30"/>
      <c r="H23" s="29">
        <v>0</v>
      </c>
      <c r="I23" s="29">
        <v>0</v>
      </c>
      <c r="J23" s="29">
        <v>0</v>
      </c>
    </row>
    <row r="24" spans="1:10" ht="14.4" x14ac:dyDescent="0.25">
      <c r="A24" s="27" t="s">
        <v>48</v>
      </c>
      <c r="B24" s="28" t="s">
        <v>49</v>
      </c>
      <c r="C24" s="28"/>
      <c r="D24" s="29">
        <v>1628</v>
      </c>
      <c r="E24" s="29">
        <v>10761</v>
      </c>
      <c r="F24" s="29">
        <f t="shared" si="0"/>
        <v>66.099508599508596</v>
      </c>
      <c r="G24" s="30"/>
      <c r="H24" s="29">
        <v>0</v>
      </c>
      <c r="I24" s="29">
        <v>0</v>
      </c>
      <c r="J24" s="29">
        <v>0</v>
      </c>
    </row>
    <row r="25" spans="1:10" ht="14.4" x14ac:dyDescent="0.25">
      <c r="A25" s="27" t="s">
        <v>50</v>
      </c>
      <c r="B25" s="28" t="s">
        <v>51</v>
      </c>
      <c r="C25" s="28"/>
      <c r="D25" s="29">
        <v>1666</v>
      </c>
      <c r="E25" s="29">
        <v>10662</v>
      </c>
      <c r="F25" s="29">
        <f t="shared" si="0"/>
        <v>63.997599039615842</v>
      </c>
      <c r="G25" s="30"/>
      <c r="H25" s="29">
        <v>0</v>
      </c>
      <c r="I25" s="29">
        <v>0</v>
      </c>
      <c r="J25" s="29">
        <v>0</v>
      </c>
    </row>
    <row r="26" spans="1:10" ht="14.4" x14ac:dyDescent="0.25">
      <c r="A26" s="27" t="s">
        <v>52</v>
      </c>
      <c r="B26" s="28" t="s">
        <v>53</v>
      </c>
      <c r="C26" s="28"/>
      <c r="D26" s="29">
        <v>494</v>
      </c>
      <c r="E26" s="29">
        <v>3013</v>
      </c>
      <c r="F26" s="29">
        <f t="shared" si="0"/>
        <v>60.991902834008094</v>
      </c>
      <c r="G26" s="30"/>
      <c r="H26" s="29">
        <v>0</v>
      </c>
      <c r="I26" s="29">
        <v>0</v>
      </c>
      <c r="J26" s="29">
        <v>0</v>
      </c>
    </row>
    <row r="27" spans="1:10" ht="14.4" x14ac:dyDescent="0.25">
      <c r="A27" s="27" t="s">
        <v>54</v>
      </c>
      <c r="B27" s="28" t="s">
        <v>55</v>
      </c>
      <c r="C27" s="28"/>
      <c r="D27" s="29">
        <v>493</v>
      </c>
      <c r="E27" s="29">
        <v>2712</v>
      </c>
      <c r="F27" s="29">
        <f t="shared" si="0"/>
        <v>55.010141987829613</v>
      </c>
      <c r="G27" s="30"/>
      <c r="H27" s="29">
        <v>0</v>
      </c>
      <c r="I27" s="29">
        <v>0</v>
      </c>
      <c r="J27" s="29">
        <v>0</v>
      </c>
    </row>
    <row r="28" spans="1:10" ht="14.4" x14ac:dyDescent="0.25">
      <c r="A28" s="27" t="s">
        <v>56</v>
      </c>
      <c r="B28" s="28" t="s">
        <v>57</v>
      </c>
      <c r="C28" s="28"/>
      <c r="D28" s="29">
        <v>219</v>
      </c>
      <c r="E28" s="29">
        <v>1007</v>
      </c>
      <c r="F28" s="29">
        <f t="shared" si="0"/>
        <v>45.981735159817347</v>
      </c>
      <c r="G28" s="30"/>
      <c r="H28" s="29">
        <v>0</v>
      </c>
      <c r="I28" s="29">
        <v>0</v>
      </c>
      <c r="J28" s="29">
        <v>0</v>
      </c>
    </row>
    <row r="29" spans="1:10" ht="14.4" x14ac:dyDescent="0.25">
      <c r="A29" s="27" t="s">
        <v>58</v>
      </c>
      <c r="B29" s="28" t="s">
        <v>59</v>
      </c>
      <c r="C29" s="28"/>
      <c r="D29" s="29">
        <v>0</v>
      </c>
      <c r="E29" s="29">
        <v>0</v>
      </c>
      <c r="F29" s="29">
        <v>0</v>
      </c>
      <c r="G29" s="30"/>
      <c r="H29" s="29">
        <v>0</v>
      </c>
      <c r="I29" s="29">
        <v>0</v>
      </c>
      <c r="J29" s="29">
        <v>0</v>
      </c>
    </row>
    <row r="30" spans="1:10" ht="14.4" x14ac:dyDescent="0.25">
      <c r="A30" s="27" t="s">
        <v>60</v>
      </c>
      <c r="B30" s="28" t="s">
        <v>61</v>
      </c>
      <c r="C30" s="28"/>
      <c r="D30" s="29">
        <v>240</v>
      </c>
      <c r="E30" s="29">
        <v>1176</v>
      </c>
      <c r="F30" s="29">
        <f t="shared" ref="F30:F32" si="2">E30/D30*10</f>
        <v>49</v>
      </c>
      <c r="G30" s="30"/>
      <c r="H30" s="29">
        <v>0</v>
      </c>
      <c r="I30" s="29">
        <v>0</v>
      </c>
      <c r="J30" s="29">
        <v>0</v>
      </c>
    </row>
    <row r="31" spans="1:10" ht="14.4" x14ac:dyDescent="0.25">
      <c r="A31" s="27" t="s">
        <v>62</v>
      </c>
      <c r="B31" s="28" t="s">
        <v>63</v>
      </c>
      <c r="C31" s="28"/>
      <c r="D31" s="29">
        <v>1298</v>
      </c>
      <c r="E31" s="29">
        <v>7788</v>
      </c>
      <c r="F31" s="29">
        <f t="shared" si="2"/>
        <v>60</v>
      </c>
      <c r="G31" s="30"/>
      <c r="H31" s="29">
        <v>0</v>
      </c>
      <c r="I31" s="29">
        <v>0</v>
      </c>
      <c r="J31" s="29">
        <v>0</v>
      </c>
    </row>
    <row r="32" spans="1:10" ht="18.75" customHeight="1" x14ac:dyDescent="0.25">
      <c r="A32" s="27" t="s">
        <v>64</v>
      </c>
      <c r="B32" s="28" t="s">
        <v>65</v>
      </c>
      <c r="C32" s="28"/>
      <c r="D32" s="29">
        <v>948</v>
      </c>
      <c r="E32" s="29">
        <v>4835</v>
      </c>
      <c r="F32" s="29">
        <f t="shared" si="2"/>
        <v>51.002109704641356</v>
      </c>
      <c r="G32" s="30"/>
      <c r="H32" s="29">
        <v>0</v>
      </c>
      <c r="I32" s="29">
        <v>0</v>
      </c>
      <c r="J32" s="29">
        <v>0</v>
      </c>
    </row>
    <row r="33" spans="1:10" ht="15" customHeight="1" x14ac:dyDescent="0.3">
      <c r="A33" s="32" t="s">
        <v>66</v>
      </c>
      <c r="B33" s="33"/>
      <c r="C33" s="33"/>
      <c r="D33" s="34">
        <f t="shared" ref="D33:E33" si="3">SUM(D13:D32)</f>
        <v>23582</v>
      </c>
      <c r="E33" s="34">
        <f t="shared" si="3"/>
        <v>167446</v>
      </c>
      <c r="F33" s="34">
        <f>SUM(F13:F32)/19</f>
        <v>66.931296405582529</v>
      </c>
      <c r="G33" s="34"/>
      <c r="H33" s="34">
        <f t="shared" ref="H33:I33" si="4">SUM(H13:H32)</f>
        <v>740</v>
      </c>
      <c r="I33" s="34">
        <f t="shared" si="4"/>
        <v>3700</v>
      </c>
      <c r="J33" s="34">
        <f>SUM(J13:J32)/5</f>
        <v>50</v>
      </c>
    </row>
    <row r="34" spans="1:10" ht="14.4" x14ac:dyDescent="0.3">
      <c r="A34" s="35" t="s">
        <v>69</v>
      </c>
      <c r="B34" s="36"/>
      <c r="C34" s="36"/>
      <c r="D34" s="37">
        <v>23452.799999999999</v>
      </c>
      <c r="E34" s="37">
        <v>145543.82</v>
      </c>
      <c r="F34" s="38">
        <v>62.058184950197798</v>
      </c>
      <c r="G34" s="37"/>
      <c r="H34" s="37">
        <v>725.7</v>
      </c>
      <c r="I34" s="37">
        <v>3229.32</v>
      </c>
      <c r="J34" s="38">
        <v>44.499379909053303</v>
      </c>
    </row>
    <row r="35" spans="1:10" ht="14.4" x14ac:dyDescent="0.3">
      <c r="A35" s="39" t="s">
        <v>68</v>
      </c>
      <c r="B35" s="5"/>
      <c r="C35" s="5"/>
      <c r="D35" s="40">
        <v>25142.799999999999</v>
      </c>
      <c r="E35" s="40">
        <v>152503</v>
      </c>
      <c r="F35" s="40">
        <v>60.654741160316902</v>
      </c>
      <c r="G35" s="40"/>
      <c r="H35" s="40">
        <v>546</v>
      </c>
      <c r="I35" s="40">
        <v>1784.874</v>
      </c>
      <c r="J35" s="40">
        <v>32.69</v>
      </c>
    </row>
    <row r="36" spans="1:10" ht="14.4" x14ac:dyDescent="0.3">
      <c r="A36" s="39" t="s">
        <v>67</v>
      </c>
      <c r="B36" s="5"/>
      <c r="C36" s="5"/>
      <c r="D36" s="40">
        <v>25584.6</v>
      </c>
      <c r="E36" s="40">
        <v>151095</v>
      </c>
      <c r="F36" s="40">
        <v>59.06</v>
      </c>
      <c r="G36" s="40"/>
      <c r="H36" s="40">
        <v>158</v>
      </c>
      <c r="I36" s="40">
        <v>732</v>
      </c>
      <c r="J36" s="40">
        <v>46.33</v>
      </c>
    </row>
    <row r="37" spans="1:10" ht="15" thickBot="1" x14ac:dyDescent="0.35">
      <c r="A37" s="39" t="s">
        <v>70</v>
      </c>
      <c r="B37" s="5"/>
      <c r="C37" s="5"/>
      <c r="D37" s="40">
        <v>24525.5</v>
      </c>
      <c r="E37" s="40">
        <v>129800.998142906</v>
      </c>
      <c r="F37" s="40">
        <v>52.92</v>
      </c>
      <c r="G37" s="40">
        <v>0</v>
      </c>
      <c r="H37" s="40">
        <v>929</v>
      </c>
      <c r="I37" s="40">
        <v>3622.9962</v>
      </c>
      <c r="J37" s="40">
        <v>39</v>
      </c>
    </row>
    <row r="38" spans="1:10" ht="15" thickTop="1" x14ac:dyDescent="0.3">
      <c r="A38" s="41" t="s">
        <v>71</v>
      </c>
      <c r="B38" s="41"/>
      <c r="C38" s="41"/>
      <c r="D38" s="41"/>
      <c r="E38" s="41"/>
      <c r="F38" s="41"/>
      <c r="G38" s="41"/>
      <c r="H38" s="41"/>
      <c r="I38" s="41"/>
      <c r="J38" s="41"/>
    </row>
    <row r="39" spans="1:10" ht="16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6.5" customHeight="1" x14ac:dyDescent="0.3">
      <c r="A40" s="3"/>
      <c r="B40" s="3"/>
      <c r="C40" s="3"/>
      <c r="D40" s="31"/>
      <c r="E40" s="31"/>
      <c r="F40" s="3"/>
      <c r="G40" s="3"/>
      <c r="H40" s="3"/>
      <c r="I40" s="3"/>
      <c r="J40" s="3"/>
    </row>
    <row r="41" spans="1:10" ht="12.75" customHeight="1" x14ac:dyDescent="0.3">
      <c r="A41" s="42"/>
      <c r="B41" s="3"/>
      <c r="C41" s="3"/>
      <c r="D41" s="3"/>
      <c r="E41" s="3"/>
      <c r="F41" s="3"/>
      <c r="G41" s="3"/>
      <c r="H41" s="31"/>
      <c r="I41" s="3"/>
      <c r="J41" s="3"/>
    </row>
    <row r="42" spans="1:10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2.75" customHeight="1" x14ac:dyDescent="0.25"/>
    <row r="51" spans="1:10" ht="12.75" customHeight="1" x14ac:dyDescent="0.25"/>
    <row r="52" spans="1:10" ht="12.75" customHeight="1" x14ac:dyDescent="0.25"/>
    <row r="53" spans="1:10" ht="12.75" customHeight="1" x14ac:dyDescent="0.25"/>
    <row r="54" spans="1:10" ht="12.75" customHeight="1" x14ac:dyDescent="0.25"/>
    <row r="55" spans="1:10" ht="12.75" customHeight="1" x14ac:dyDescent="0.25"/>
    <row r="56" spans="1:10" ht="12.75" customHeight="1" x14ac:dyDescent="0.25"/>
    <row r="57" spans="1:10" ht="12.75" customHeight="1" x14ac:dyDescent="0.25"/>
    <row r="58" spans="1:10" ht="12.75" customHeight="1" x14ac:dyDescent="0.25"/>
    <row r="59" spans="1:10" ht="12.75" customHeight="1" x14ac:dyDescent="0.25"/>
    <row r="60" spans="1:10" ht="12.75" customHeight="1" x14ac:dyDescent="0.25"/>
    <row r="61" spans="1:10" ht="12.75" customHeight="1" x14ac:dyDescent="0.25"/>
    <row r="62" spans="1:10" ht="12.75" customHeight="1" x14ac:dyDescent="0.25"/>
    <row r="63" spans="1:10" ht="12.75" customHeight="1" x14ac:dyDescent="0.25"/>
    <row r="64" spans="1:10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37:C37"/>
    <mergeCell ref="A36:C36"/>
    <mergeCell ref="A35:C35"/>
    <mergeCell ref="A34:C34"/>
    <mergeCell ref="A33:C33"/>
    <mergeCell ref="A11:C11"/>
    <mergeCell ref="A7:C10"/>
    <mergeCell ref="D7:F7"/>
    <mergeCell ref="H7:J7"/>
    <mergeCell ref="C5:J5"/>
    <mergeCell ref="C4:J4"/>
    <mergeCell ref="C2:J2"/>
    <mergeCell ref="C3:J3"/>
    <mergeCell ref="A1:B1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2025-07-10T03:37:38Z</dcterms:created>
  <dcterms:modified xsi:type="dcterms:W3CDTF">2025-07-10T03:37:56Z</dcterms:modified>
</cp:coreProperties>
</file>