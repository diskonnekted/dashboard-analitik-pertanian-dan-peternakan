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1E5CFC4-498D-46E6-8DFA-899BDDCD12AF}" xr6:coauthVersionLast="47" xr6:coauthVersionMax="47" xr10:uidLastSave="{00000000-0000-0000-0000-000000000000}"/>
  <bookViews>
    <workbookView xWindow="28680" yWindow="-120" windowWidth="29040" windowHeight="15720" xr2:uid="{ACF50DDE-CF01-4559-BEA0-51485F969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E29" i="1"/>
  <c r="D29" i="1"/>
  <c r="F29" i="1" l="1"/>
  <c r="J29" i="1"/>
</calcChain>
</file>

<file path=xl/sharedStrings.xml><?xml version="1.0" encoding="utf-8"?>
<sst xmlns="http://schemas.openxmlformats.org/spreadsheetml/2006/main" count="135" uniqueCount="70">
  <si>
    <r>
      <t>Tabel</t>
    </r>
    <r>
      <rPr>
        <b/>
        <sz val="11"/>
        <rFont val="Calibri"/>
        <family val="2"/>
      </rPr>
      <t xml:space="preserve"> : 5.1.1.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</si>
  <si>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</si>
  <si>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</si>
  <si>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Tahun 2019</t>
  </si>
  <si>
    <t>Table</t>
  </si>
  <si>
    <r>
      <t xml:space="preserve">Kecamatan             </t>
    </r>
    <r>
      <rPr>
        <i/>
        <sz val="9"/>
        <rFont val="Calibri"/>
        <family val="2"/>
      </rPr>
      <t>Subdistrict</t>
    </r>
  </si>
  <si>
    <r>
      <t xml:space="preserve">Kacang Tanah                                    </t>
    </r>
    <r>
      <rPr>
        <i/>
        <sz val="9"/>
        <rFont val="Calibri"/>
        <family val="2"/>
      </rPr>
      <t>Peanut</t>
    </r>
  </si>
  <si>
    <r>
      <t xml:space="preserve">Kedelai                                            </t>
    </r>
    <r>
      <rPr>
        <i/>
        <sz val="9"/>
        <rFont val="Calibri"/>
        <family val="2"/>
      </rPr>
      <t>Soybean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</si>
  <si>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</si>
  <si>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</si>
  <si>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</si>
  <si>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</si>
  <si>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</si>
  <si>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</si>
  <si>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</si>
  <si>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</si>
  <si>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</si>
  <si>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</si>
  <si>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(17)</t>
  </si>
  <si>
    <t>(18)</t>
  </si>
  <si>
    <t>(19)</t>
  </si>
  <si>
    <t>(20)</t>
  </si>
  <si>
    <t>(21)</t>
  </si>
  <si>
    <t>(22)</t>
  </si>
  <si>
    <t>01.</t>
  </si>
  <si>
    <t>Susukan</t>
  </si>
  <si>
    <t>-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</si>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</sst>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6" formatCode="_(* #,##0.00_);_(* \(#,##0.00\);_(* &quot;-&quot;??_);_(@_)"/>
    <numFmt numFmtId="167" formatCode="_(* #,##0_);_(* \(#,##0\);_(* &quot;-&quot;??_);_(@_)"/>
    <numFmt numFmtId="168" formatCode="_(* #,##0_);_(* \(#,##0\);_(* \-??_);_(@_)"/>
    <numFmt numFmtId="169" formatCode="_(* #,##0.00_);_(* \(#,##0.00\);_(* \-??_);_(@_)"/>
    <numFmt numFmtId="170" formatCode="_(* #,##0.00_);_(* \(#,##0.00\);_(* \-_);_(@_)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7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1" fillId="0" borderId="0" xfId="1"/>
    <xf numFmtId="0" fontId="10" fillId="0" borderId="0" xfId="1" applyFont="1" applyAlignment="1">
      <alignment vertical="top"/>
    </xf>
    <xf numFmtId="0" fontId="11" fillId="0" borderId="1" xfId="1" applyFont="1" applyBorder="1" applyAlignment="1">
      <alignment horizontal="center" vertical="center" wrapText="1"/>
    </xf>
    <xf numFmtId="0" fontId="13" fillId="0" borderId="1" xfId="1" applyFont="1" applyBorder="1"/>
    <xf numFmtId="0" fontId="11" fillId="0" borderId="2" xfId="1" applyFont="1" applyBorder="1" applyAlignment="1">
      <alignment horizontal="center" vertical="center" wrapText="1"/>
    </xf>
    <xf numFmtId="0" fontId="13" fillId="0" borderId="2" xfId="1" applyFont="1" applyBorder="1"/>
    <xf numFmtId="0" fontId="11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11" fillId="0" borderId="3" xfId="1" applyFont="1" applyBorder="1" applyAlignment="1">
      <alignment horizontal="center" wrapText="1"/>
    </xf>
    <xf numFmtId="0" fontId="14" fillId="0" borderId="0" xfId="1" applyFont="1" applyAlignment="1">
      <alignment horizontal="center" vertical="top" wrapText="1"/>
    </xf>
    <xf numFmtId="0" fontId="13" fillId="0" borderId="4" xfId="1" applyFont="1" applyBorder="1"/>
    <xf numFmtId="0" fontId="11" fillId="0" borderId="0" xfId="1" applyFont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0" fontId="13" fillId="0" borderId="5" xfId="1" applyFont="1" applyBorder="1"/>
    <xf numFmtId="0" fontId="11" fillId="0" borderId="5" xfId="1" applyFont="1" applyBorder="1" applyAlignment="1">
      <alignment horizontal="center" vertical="center"/>
    </xf>
    <xf numFmtId="0" fontId="7" fillId="0" borderId="3" xfId="1" applyFont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right"/>
    </xf>
    <xf numFmtId="4" fontId="9" fillId="0" borderId="0" xfId="1" applyNumberFormat="1" applyFont="1" applyAlignment="1">
      <alignment horizontal="right"/>
    </xf>
    <xf numFmtId="166" fontId="9" fillId="0" borderId="0" xfId="1" applyNumberFormat="1" applyFont="1"/>
    <xf numFmtId="4" fontId="9" fillId="0" borderId="0" xfId="1" applyNumberFormat="1" applyFont="1"/>
    <xf numFmtId="167" fontId="9" fillId="0" borderId="0" xfId="1" applyNumberFormat="1" applyFont="1" applyAlignment="1">
      <alignment horizontal="right"/>
    </xf>
    <xf numFmtId="166" fontId="9" fillId="0" borderId="0" xfId="1" applyNumberFormat="1" applyFont="1" applyAlignment="1">
      <alignment horizontal="center"/>
    </xf>
    <xf numFmtId="4" fontId="9" fillId="0" borderId="0" xfId="1" applyNumberFormat="1" applyFont="1" applyAlignment="1">
      <alignment horizontal="center"/>
    </xf>
    <xf numFmtId="168" fontId="7" fillId="0" borderId="5" xfId="1" applyNumberFormat="1" applyFont="1" applyBorder="1" applyAlignment="1">
      <alignment horizontal="center" vertical="center"/>
    </xf>
    <xf numFmtId="169" fontId="7" fillId="0" borderId="3" xfId="1" applyNumberFormat="1" applyFont="1" applyBorder="1" applyAlignment="1">
      <alignment horizontal="left" vertical="center"/>
    </xf>
    <xf numFmtId="170" fontId="7" fillId="0" borderId="3" xfId="1" applyNumberFormat="1" applyFont="1" applyBorder="1" applyAlignment="1">
      <alignment horizontal="left" vertical="center"/>
    </xf>
    <xf numFmtId="0" fontId="13" fillId="0" borderId="3" xfId="1" applyFont="1" applyBorder="1"/>
    <xf numFmtId="0" fontId="7" fillId="0" borderId="3" xfId="1" applyFont="1" applyBorder="1" applyAlignment="1">
      <alignment horizontal="center" vertical="center"/>
    </xf>
    <xf numFmtId="169" fontId="11" fillId="0" borderId="3" xfId="1" applyNumberFormat="1" applyFont="1" applyBorder="1" applyAlignment="1">
      <alignment horizontal="left" vertical="center"/>
    </xf>
    <xf numFmtId="170" fontId="11" fillId="0" borderId="3" xfId="1" applyNumberFormat="1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169" fontId="11" fillId="0" borderId="0" xfId="1" applyNumberFormat="1" applyFont="1" applyAlignment="1">
      <alignment horizontal="left" vertical="center"/>
    </xf>
    <xf numFmtId="170" fontId="11" fillId="0" borderId="0" xfId="1" applyNumberFormat="1" applyFont="1" applyAlignment="1">
      <alignment horizontal="left" vertical="center"/>
    </xf>
    <xf numFmtId="0" fontId="7" fillId="0" borderId="1" xfId="1" applyFont="1" applyBorder="1" applyAlignment="1">
      <alignment horizontal="left"/>
    </xf>
  </cellXfs>
  <cellStyles count="3">
    <cellStyle name="Comma [0] 3" xfId="2" xr:uid="{54B60F71-8111-4241-A7FF-0957A548F792}"/>
    <cellStyle name="Normal" xfId="0" builtinId="0"/>
    <cellStyle name="Normal 4" xfId="1" xr:uid="{FC6C464E-5D56-4ED9-9064-E1FDE3962C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7406-E37D-46EB-AD32-AA36609C30C8}">
  <dimension ref="A1:AC996"/>
  <sheetViews>
    <sheetView tabSelected="1" workbookViewId="0">
      <selection activeCell="M13" sqref="M13"/>
    </sheetView>
  </sheetViews>
  <sheetFormatPr defaultColWidth="14.44140625" defaultRowHeight="13.2" x14ac:dyDescent="0.25"/>
  <cols>
    <col min="1" max="1" width="6" style="7" bestFit="1" customWidth="1"/>
    <col min="2" max="2" width="8.77734375" style="7" customWidth="1"/>
    <col min="3" max="3" width="17.77734375" style="7" bestFit="1" customWidth="1"/>
    <col min="4" max="4" width="9.77734375" style="7" customWidth="1"/>
    <col min="5" max="5" width="10.21875" style="7" customWidth="1"/>
    <col min="6" max="6" width="8.21875" style="7" customWidth="1"/>
    <col min="7" max="7" width="0.77734375" style="7" customWidth="1"/>
    <col min="8" max="8" width="9.77734375" style="7" customWidth="1"/>
    <col min="9" max="9" width="10.5546875" style="7" customWidth="1"/>
    <col min="10" max="10" width="7.77734375" style="7" customWidth="1"/>
    <col min="11" max="16384" width="14.44140625" style="7"/>
  </cols>
  <sheetData>
    <row r="1" spans="1:10" ht="14.4" x14ac:dyDescent="0.3">
      <c r="A1" s="1" t="s">
        <v>0</v>
      </c>
      <c r="B1" s="2"/>
      <c r="C1" s="3" t="s">
        <v>1</v>
      </c>
      <c r="D1" s="4"/>
      <c r="E1" s="5"/>
      <c r="F1" s="5"/>
      <c r="G1" s="5"/>
      <c r="H1" s="5"/>
      <c r="I1" s="5"/>
      <c r="J1" s="6" t="s">
        <v>3</v>
      </c>
    </row>
    <row r="2" spans="1:10" ht="15" thickBot="1" x14ac:dyDescent="0.35">
      <c r="A2" s="8" t="s">
        <v>4</v>
      </c>
      <c r="B2" s="5"/>
      <c r="C2" s="5"/>
      <c r="D2" s="5"/>
      <c r="E2" s="3"/>
      <c r="F2" s="3"/>
      <c r="G2" s="3"/>
      <c r="H2" s="3"/>
      <c r="I2" s="3"/>
      <c r="J2" s="3"/>
    </row>
    <row r="3" spans="1:10" ht="27.75" customHeight="1" thickTop="1" x14ac:dyDescent="0.25">
      <c r="A3" s="9" t="s">
        <v>5</v>
      </c>
      <c r="B3" s="10"/>
      <c r="C3" s="10"/>
      <c r="D3" s="11" t="s">
        <v>6</v>
      </c>
      <c r="E3" s="12"/>
      <c r="F3" s="12"/>
      <c r="G3" s="13"/>
      <c r="H3" s="11" t="s">
        <v>7</v>
      </c>
      <c r="I3" s="12"/>
      <c r="J3" s="12"/>
    </row>
    <row r="4" spans="1:10" ht="12.75" customHeight="1" x14ac:dyDescent="0.25">
      <c r="A4" s="2"/>
      <c r="B4" s="2"/>
      <c r="C4" s="2"/>
      <c r="D4" s="14" t="s">
        <v>8</v>
      </c>
      <c r="E4" s="15" t="s">
        <v>9</v>
      </c>
      <c r="F4" s="14" t="s">
        <v>10</v>
      </c>
      <c r="G4" s="14"/>
      <c r="H4" s="14" t="s">
        <v>8</v>
      </c>
      <c r="I4" s="15" t="s">
        <v>9</v>
      </c>
      <c r="J4" s="14" t="s">
        <v>10</v>
      </c>
    </row>
    <row r="5" spans="1:10" ht="24" x14ac:dyDescent="0.25">
      <c r="A5" s="2"/>
      <c r="B5" s="2"/>
      <c r="C5" s="2"/>
      <c r="D5" s="16" t="s">
        <v>11</v>
      </c>
      <c r="E5" s="16" t="s">
        <v>12</v>
      </c>
      <c r="F5" s="16" t="s">
        <v>13</v>
      </c>
      <c r="G5" s="16"/>
      <c r="H5" s="16" t="s">
        <v>11</v>
      </c>
      <c r="I5" s="16" t="s">
        <v>12</v>
      </c>
      <c r="J5" s="16" t="s">
        <v>13</v>
      </c>
    </row>
    <row r="6" spans="1:10" x14ac:dyDescent="0.25">
      <c r="A6" s="17"/>
      <c r="B6" s="17"/>
      <c r="C6" s="17"/>
      <c r="D6" s="18" t="s">
        <v>14</v>
      </c>
      <c r="E6" s="18" t="s">
        <v>15</v>
      </c>
      <c r="F6" s="18" t="s">
        <v>16</v>
      </c>
      <c r="G6" s="18"/>
      <c r="H6" s="18" t="s">
        <v>14</v>
      </c>
      <c r="I6" s="18" t="s">
        <v>15</v>
      </c>
      <c r="J6" s="18" t="s">
        <v>16</v>
      </c>
    </row>
    <row r="7" spans="1:10" x14ac:dyDescent="0.25">
      <c r="A7" s="19" t="s">
        <v>17</v>
      </c>
      <c r="B7" s="20"/>
      <c r="C7" s="20"/>
      <c r="D7" s="21" t="s">
        <v>18</v>
      </c>
      <c r="E7" s="21" t="s">
        <v>19</v>
      </c>
      <c r="F7" s="21" t="s">
        <v>20</v>
      </c>
      <c r="G7" s="21"/>
      <c r="H7" s="21" t="s">
        <v>21</v>
      </c>
      <c r="I7" s="21" t="s">
        <v>22</v>
      </c>
      <c r="J7" s="21" t="s">
        <v>23</v>
      </c>
    </row>
    <row r="8" spans="1:10" ht="7.5" hidden="1" customHeight="1" x14ac:dyDescent="0.3">
      <c r="A8" s="4"/>
      <c r="B8" s="4"/>
      <c r="C8" s="22"/>
      <c r="D8" s="22"/>
      <c r="E8" s="4"/>
      <c r="F8" s="4"/>
      <c r="G8" s="4"/>
      <c r="H8" s="4"/>
      <c r="I8" s="4"/>
      <c r="J8" s="4"/>
    </row>
    <row r="9" spans="1:10" ht="14.4" x14ac:dyDescent="0.3">
      <c r="A9" s="23" t="s">
        <v>24</v>
      </c>
      <c r="B9" s="24" t="s">
        <v>25</v>
      </c>
      <c r="C9" s="24"/>
      <c r="D9" s="25">
        <v>9.5</v>
      </c>
      <c r="E9" s="25" t="s">
        <v>26</v>
      </c>
      <c r="F9" s="26" t="s">
        <v>26</v>
      </c>
      <c r="G9" s="4"/>
      <c r="H9" s="27">
        <v>77</v>
      </c>
      <c r="I9" s="27">
        <v>107.42</v>
      </c>
      <c r="J9" s="26">
        <v>13.95</v>
      </c>
    </row>
    <row r="10" spans="1:10" ht="14.4" x14ac:dyDescent="0.3">
      <c r="A10" s="23" t="s">
        <v>27</v>
      </c>
      <c r="B10" s="24" t="s">
        <v>28</v>
      </c>
      <c r="C10" s="24"/>
      <c r="D10" s="25">
        <v>14.4</v>
      </c>
      <c r="E10" s="25">
        <v>14.69</v>
      </c>
      <c r="F10" s="26">
        <v>10.199999999999999</v>
      </c>
      <c r="G10" s="4"/>
      <c r="H10" s="27">
        <v>4</v>
      </c>
      <c r="I10" s="27">
        <v>4.4000000000000004</v>
      </c>
      <c r="J10" s="26">
        <v>11</v>
      </c>
    </row>
    <row r="11" spans="1:10" ht="14.4" x14ac:dyDescent="0.3">
      <c r="A11" s="23" t="s">
        <v>29</v>
      </c>
      <c r="B11" s="24" t="s">
        <v>30</v>
      </c>
      <c r="C11" s="24"/>
      <c r="D11" s="25">
        <v>9.8000000000000007</v>
      </c>
      <c r="E11" s="25">
        <v>11.96</v>
      </c>
      <c r="F11" s="26">
        <v>12.2</v>
      </c>
      <c r="G11" s="4"/>
      <c r="H11" s="27" t="s">
        <v>26</v>
      </c>
      <c r="I11" s="27" t="s">
        <v>26</v>
      </c>
      <c r="J11" s="28" t="s">
        <v>26</v>
      </c>
    </row>
    <row r="12" spans="1:10" ht="14.4" x14ac:dyDescent="0.3">
      <c r="A12" s="23" t="s">
        <v>31</v>
      </c>
      <c r="B12" s="24" t="s">
        <v>32</v>
      </c>
      <c r="C12" s="24"/>
      <c r="D12" s="25">
        <v>311.39999999999998</v>
      </c>
      <c r="E12" s="29">
        <v>349</v>
      </c>
      <c r="F12" s="26">
        <v>11.2</v>
      </c>
      <c r="G12" s="4"/>
      <c r="H12" s="27">
        <v>96.3</v>
      </c>
      <c r="I12" s="27">
        <v>117.77</v>
      </c>
      <c r="J12" s="27">
        <v>12.23</v>
      </c>
    </row>
    <row r="13" spans="1:10" ht="14.4" x14ac:dyDescent="0.3">
      <c r="A13" s="23" t="s">
        <v>33</v>
      </c>
      <c r="B13" s="24" t="s">
        <v>34</v>
      </c>
      <c r="C13" s="24"/>
      <c r="D13" s="25">
        <v>4.8</v>
      </c>
      <c r="E13" s="25">
        <v>5.65</v>
      </c>
      <c r="F13" s="26">
        <v>11.77</v>
      </c>
      <c r="G13" s="4"/>
      <c r="H13" s="27">
        <v>121.8</v>
      </c>
      <c r="I13" s="27">
        <v>137.63</v>
      </c>
      <c r="J13" s="27">
        <v>11.3</v>
      </c>
    </row>
    <row r="14" spans="1:10" ht="14.4" x14ac:dyDescent="0.3">
      <c r="A14" s="23" t="s">
        <v>35</v>
      </c>
      <c r="B14" s="24" t="s">
        <v>36</v>
      </c>
      <c r="C14" s="24"/>
      <c r="D14" s="25">
        <v>73.400000000000006</v>
      </c>
      <c r="E14" s="25">
        <v>82.94</v>
      </c>
      <c r="F14" s="26">
        <v>11.3</v>
      </c>
      <c r="G14" s="4"/>
      <c r="H14" s="27" t="s">
        <v>26</v>
      </c>
      <c r="I14" s="27" t="s">
        <v>26</v>
      </c>
      <c r="J14" s="27" t="s">
        <v>26</v>
      </c>
    </row>
    <row r="15" spans="1:10" ht="14.4" x14ac:dyDescent="0.3">
      <c r="A15" s="23" t="s">
        <v>37</v>
      </c>
      <c r="B15" s="24" t="s">
        <v>38</v>
      </c>
      <c r="C15" s="24"/>
      <c r="D15" s="25">
        <v>5</v>
      </c>
      <c r="E15" s="25">
        <v>5.0999999999999996</v>
      </c>
      <c r="F15" s="26">
        <v>10.199999999999999</v>
      </c>
      <c r="G15" s="4"/>
      <c r="H15" s="27">
        <v>97.5</v>
      </c>
      <c r="I15" s="27">
        <v>75.08</v>
      </c>
      <c r="J15" s="27">
        <v>7.7</v>
      </c>
    </row>
    <row r="16" spans="1:10" ht="14.4" x14ac:dyDescent="0.3">
      <c r="A16" s="23" t="s">
        <v>39</v>
      </c>
      <c r="B16" s="24" t="s">
        <v>40</v>
      </c>
      <c r="C16" s="24"/>
      <c r="D16" s="25">
        <v>3.8</v>
      </c>
      <c r="E16" s="25">
        <v>4.26</v>
      </c>
      <c r="F16" s="26">
        <v>11.2</v>
      </c>
      <c r="G16" s="4"/>
      <c r="H16" s="27" t="s">
        <v>26</v>
      </c>
      <c r="I16" s="27" t="s">
        <v>26</v>
      </c>
      <c r="J16" s="27" t="s">
        <v>26</v>
      </c>
    </row>
    <row r="17" spans="1:10" ht="14.4" x14ac:dyDescent="0.3">
      <c r="A17" s="23" t="s">
        <v>41</v>
      </c>
      <c r="B17" s="24" t="s">
        <v>42</v>
      </c>
      <c r="C17" s="24"/>
      <c r="D17" s="25">
        <v>19.100000000000001</v>
      </c>
      <c r="E17" s="25">
        <v>26.64</v>
      </c>
      <c r="F17" s="26">
        <v>13.95</v>
      </c>
      <c r="G17" s="4"/>
      <c r="H17" s="27" t="s">
        <v>26</v>
      </c>
      <c r="I17" s="27" t="s">
        <v>26</v>
      </c>
      <c r="J17" s="27" t="s">
        <v>26</v>
      </c>
    </row>
    <row r="18" spans="1:10" ht="14.4" x14ac:dyDescent="0.3">
      <c r="A18" s="23" t="s">
        <v>43</v>
      </c>
      <c r="B18" s="24" t="s">
        <v>44</v>
      </c>
      <c r="C18" s="24"/>
      <c r="D18" s="30" t="s">
        <v>26</v>
      </c>
      <c r="E18" s="30" t="s">
        <v>26</v>
      </c>
      <c r="F18" s="31"/>
      <c r="G18" s="4"/>
      <c r="H18" s="27" t="s">
        <v>26</v>
      </c>
      <c r="I18" s="27" t="s">
        <v>26</v>
      </c>
      <c r="J18" s="27" t="s">
        <v>26</v>
      </c>
    </row>
    <row r="19" spans="1:10" ht="14.4" x14ac:dyDescent="0.3">
      <c r="A19" s="23" t="s">
        <v>45</v>
      </c>
      <c r="B19" s="24" t="s">
        <v>46</v>
      </c>
      <c r="C19" s="24"/>
      <c r="D19" s="25">
        <v>3.9</v>
      </c>
      <c r="E19" s="25">
        <v>4.37</v>
      </c>
      <c r="F19" s="26">
        <v>11.2</v>
      </c>
      <c r="G19" s="4"/>
      <c r="H19" s="27" t="s">
        <v>26</v>
      </c>
      <c r="I19" s="27" t="s">
        <v>26</v>
      </c>
      <c r="J19" s="28" t="s">
        <v>26</v>
      </c>
    </row>
    <row r="20" spans="1:10" ht="14.4" x14ac:dyDescent="0.3">
      <c r="A20" s="23" t="s">
        <v>47</v>
      </c>
      <c r="B20" s="24" t="s">
        <v>48</v>
      </c>
      <c r="C20" s="24"/>
      <c r="D20" s="25">
        <v>53</v>
      </c>
      <c r="E20" s="25">
        <v>53.16</v>
      </c>
      <c r="F20" s="26">
        <v>10.029999999999999</v>
      </c>
      <c r="G20" s="4"/>
      <c r="H20" s="27">
        <v>13.5</v>
      </c>
      <c r="I20" s="27">
        <v>14.18</v>
      </c>
      <c r="J20" s="27">
        <v>10.5</v>
      </c>
    </row>
    <row r="21" spans="1:10" ht="14.4" x14ac:dyDescent="0.3">
      <c r="A21" s="23" t="s">
        <v>49</v>
      </c>
      <c r="B21" s="24" t="s">
        <v>50</v>
      </c>
      <c r="C21" s="24"/>
      <c r="D21" s="30">
        <v>2</v>
      </c>
      <c r="E21" s="30">
        <v>1.56</v>
      </c>
      <c r="F21" s="31">
        <v>7.8</v>
      </c>
      <c r="G21" s="4"/>
      <c r="H21" s="27" t="s">
        <v>26</v>
      </c>
      <c r="I21" s="27" t="s">
        <v>26</v>
      </c>
      <c r="J21" s="27" t="s">
        <v>26</v>
      </c>
    </row>
    <row r="22" spans="1:10" ht="14.4" x14ac:dyDescent="0.3">
      <c r="A22" s="23" t="s">
        <v>51</v>
      </c>
      <c r="B22" s="24" t="s">
        <v>52</v>
      </c>
      <c r="C22" s="24"/>
      <c r="D22" s="25">
        <v>7</v>
      </c>
      <c r="E22" s="25">
        <v>6.62</v>
      </c>
      <c r="F22" s="26">
        <v>9.4499999999999993</v>
      </c>
      <c r="G22" s="4"/>
      <c r="H22" s="27" t="s">
        <v>26</v>
      </c>
      <c r="I22" s="27" t="s">
        <v>26</v>
      </c>
      <c r="J22" s="27" t="s">
        <v>26</v>
      </c>
    </row>
    <row r="23" spans="1:10" ht="14.4" x14ac:dyDescent="0.3">
      <c r="A23" s="23" t="s">
        <v>53</v>
      </c>
      <c r="B23" s="24" t="s">
        <v>54</v>
      </c>
      <c r="C23" s="24"/>
      <c r="D23" s="30" t="s">
        <v>26</v>
      </c>
      <c r="E23" s="30" t="s">
        <v>26</v>
      </c>
      <c r="F23" s="31"/>
      <c r="G23" s="4"/>
      <c r="H23" s="27" t="s">
        <v>26</v>
      </c>
      <c r="I23" s="27" t="s">
        <v>26</v>
      </c>
      <c r="J23" s="27" t="s">
        <v>26</v>
      </c>
    </row>
    <row r="24" spans="1:10" ht="14.4" x14ac:dyDescent="0.3">
      <c r="A24" s="23" t="s">
        <v>55</v>
      </c>
      <c r="B24" s="24" t="s">
        <v>56</v>
      </c>
      <c r="C24" s="24"/>
      <c r="D24" s="25">
        <v>17</v>
      </c>
      <c r="E24" s="25">
        <v>16.61</v>
      </c>
      <c r="F24" s="26">
        <v>9.77</v>
      </c>
      <c r="G24" s="4"/>
      <c r="H24" s="27" t="s">
        <v>26</v>
      </c>
      <c r="I24" s="27" t="s">
        <v>26</v>
      </c>
      <c r="J24" s="27" t="s">
        <v>26</v>
      </c>
    </row>
    <row r="25" spans="1:10" ht="14.4" x14ac:dyDescent="0.3">
      <c r="A25" s="23" t="s">
        <v>57</v>
      </c>
      <c r="B25" s="24" t="s">
        <v>58</v>
      </c>
      <c r="C25" s="24"/>
      <c r="D25" s="30" t="s">
        <v>26</v>
      </c>
      <c r="E25" s="30" t="s">
        <v>26</v>
      </c>
      <c r="F25" s="31" t="s">
        <v>26</v>
      </c>
      <c r="G25" s="4"/>
      <c r="H25" s="27" t="s">
        <v>26</v>
      </c>
      <c r="I25" s="27" t="s">
        <v>26</v>
      </c>
      <c r="J25" s="27" t="s">
        <v>26</v>
      </c>
    </row>
    <row r="26" spans="1:10" ht="14.4" x14ac:dyDescent="0.3">
      <c r="A26" s="23" t="s">
        <v>59</v>
      </c>
      <c r="B26" s="24" t="s">
        <v>60</v>
      </c>
      <c r="C26" s="24"/>
      <c r="D26" s="30" t="s">
        <v>26</v>
      </c>
      <c r="E26" s="30" t="s">
        <v>26</v>
      </c>
      <c r="F26" s="31" t="s">
        <v>26</v>
      </c>
      <c r="G26" s="4"/>
      <c r="H26" s="27" t="s">
        <v>26</v>
      </c>
      <c r="I26" s="27" t="s">
        <v>26</v>
      </c>
      <c r="J26" s="27" t="s">
        <v>26</v>
      </c>
    </row>
    <row r="27" spans="1:10" ht="14.4" x14ac:dyDescent="0.3">
      <c r="A27" s="23" t="s">
        <v>61</v>
      </c>
      <c r="B27" s="24" t="s">
        <v>62</v>
      </c>
      <c r="C27" s="24"/>
      <c r="D27" s="30" t="s">
        <v>26</v>
      </c>
      <c r="E27" s="30" t="s">
        <v>26</v>
      </c>
      <c r="F27" s="31" t="s">
        <v>26</v>
      </c>
      <c r="G27" s="4"/>
      <c r="H27" s="27">
        <v>179</v>
      </c>
      <c r="I27" s="27">
        <v>204.96</v>
      </c>
      <c r="J27" s="27">
        <v>11.45</v>
      </c>
    </row>
    <row r="28" spans="1:10" ht="14.4" x14ac:dyDescent="0.3">
      <c r="A28" s="23" t="s">
        <v>63</v>
      </c>
      <c r="B28" s="24" t="s">
        <v>64</v>
      </c>
      <c r="C28" s="24"/>
      <c r="D28" s="25" t="s">
        <v>26</v>
      </c>
      <c r="E28" s="25" t="s">
        <v>26</v>
      </c>
      <c r="F28" s="26" t="s">
        <v>26</v>
      </c>
      <c r="G28" s="4"/>
      <c r="H28" s="27" t="s">
        <v>26</v>
      </c>
      <c r="I28" s="27" t="s">
        <v>26</v>
      </c>
      <c r="J28" s="27" t="s">
        <v>26</v>
      </c>
    </row>
    <row r="29" spans="1:10" ht="14.4" x14ac:dyDescent="0.25">
      <c r="A29" s="32" t="s">
        <v>65</v>
      </c>
      <c r="B29" s="20"/>
      <c r="C29" s="20"/>
      <c r="D29" s="33">
        <f t="shared" ref="D29:E29" si="0">SUM(D9:D28)</f>
        <v>534.09999999999991</v>
      </c>
      <c r="E29" s="33">
        <f t="shared" si="0"/>
        <v>582.55999999999995</v>
      </c>
      <c r="F29" s="34">
        <f>(E29/D29)*10</f>
        <v>10.907320726455721</v>
      </c>
      <c r="G29" s="33"/>
      <c r="H29" s="33">
        <f t="shared" ref="H29:I29" si="1">SUM(H9:H28)</f>
        <v>589.1</v>
      </c>
      <c r="I29" s="33">
        <f t="shared" si="1"/>
        <v>661.44</v>
      </c>
      <c r="J29" s="34">
        <f>(I29/H29)*10</f>
        <v>11.227974876930913</v>
      </c>
    </row>
    <row r="30" spans="1:10" ht="14.4" x14ac:dyDescent="0.25">
      <c r="A30" s="36" t="s">
        <v>2</v>
      </c>
      <c r="B30" s="35"/>
      <c r="C30" s="35"/>
      <c r="D30" s="37">
        <v>1313.8000000000002</v>
      </c>
      <c r="E30" s="37">
        <v>1287.4421999999997</v>
      </c>
      <c r="F30" s="38">
        <v>9.799377378596434</v>
      </c>
      <c r="G30" s="37"/>
      <c r="H30" s="37">
        <v>2265.6000000000004</v>
      </c>
      <c r="I30" s="37">
        <v>2958.1710000000003</v>
      </c>
      <c r="J30" s="38">
        <v>13.056898834745763</v>
      </c>
    </row>
    <row r="31" spans="1:10" ht="14.4" x14ac:dyDescent="0.25">
      <c r="A31" s="39" t="s">
        <v>66</v>
      </c>
      <c r="B31" s="2"/>
      <c r="C31" s="2"/>
      <c r="D31" s="40">
        <v>666.49999999999989</v>
      </c>
      <c r="E31" s="40">
        <v>619.31415224026568</v>
      </c>
      <c r="F31" s="41">
        <v>9.2899999999999991</v>
      </c>
      <c r="G31" s="40"/>
      <c r="H31" s="40">
        <v>55.499999999999993</v>
      </c>
      <c r="I31" s="40">
        <v>65.697199999999995</v>
      </c>
      <c r="J31" s="41">
        <v>11.84</v>
      </c>
    </row>
    <row r="32" spans="1:10" ht="14.4" x14ac:dyDescent="0.25">
      <c r="A32" s="39" t="s">
        <v>67</v>
      </c>
      <c r="B32" s="2"/>
      <c r="C32" s="2"/>
      <c r="D32" s="40">
        <v>1330.2</v>
      </c>
      <c r="E32" s="40">
        <v>1218.0056261802997</v>
      </c>
      <c r="F32" s="40">
        <v>9.1565601126168978</v>
      </c>
      <c r="G32" s="40"/>
      <c r="H32" s="40">
        <v>92.899999999999991</v>
      </c>
      <c r="I32" s="40">
        <v>110.00077013565999</v>
      </c>
      <c r="J32" s="40">
        <v>11.84077181223466</v>
      </c>
    </row>
    <row r="33" spans="1:10" ht="15" thickBot="1" x14ac:dyDescent="0.3">
      <c r="A33" s="39" t="s">
        <v>68</v>
      </c>
      <c r="B33" s="2"/>
      <c r="C33" s="2"/>
      <c r="D33" s="40">
        <v>585</v>
      </c>
      <c r="E33" s="40">
        <v>793.01</v>
      </c>
      <c r="F33" s="40">
        <v>13.56</v>
      </c>
      <c r="G33" s="40"/>
      <c r="H33" s="40">
        <v>128</v>
      </c>
      <c r="I33" s="40">
        <v>99.68</v>
      </c>
      <c r="J33" s="40">
        <v>7.79</v>
      </c>
    </row>
    <row r="34" spans="1:10" ht="15" thickTop="1" x14ac:dyDescent="0.3">
      <c r="A34" s="42" t="s">
        <v>69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2.75" customHeight="1" x14ac:dyDescent="0.3">
      <c r="F36" s="4"/>
      <c r="G36" s="4"/>
      <c r="H36" s="4"/>
      <c r="I36" s="4"/>
      <c r="J36" s="4"/>
    </row>
    <row r="37" spans="1:10" ht="12.75" customHeight="1" x14ac:dyDescent="0.3">
      <c r="F37" s="4"/>
      <c r="G37" s="4"/>
      <c r="H37" s="4"/>
      <c r="I37" s="4"/>
      <c r="J37" s="4"/>
    </row>
    <row r="38" spans="1:10" ht="12.75" customHeight="1" x14ac:dyDescent="0.3">
      <c r="F38" s="4"/>
      <c r="G38" s="4"/>
      <c r="H38" s="4"/>
      <c r="I38" s="4"/>
      <c r="J38" s="4"/>
    </row>
    <row r="39" spans="1:10" ht="12.75" customHeight="1" x14ac:dyDescent="0.3">
      <c r="F39" s="4"/>
      <c r="G39" s="4"/>
      <c r="H39" s="4"/>
      <c r="I39" s="4"/>
      <c r="J39" s="4"/>
    </row>
    <row r="40" spans="1:10" ht="12.75" customHeight="1" x14ac:dyDescent="0.3">
      <c r="F40" s="4"/>
      <c r="G40" s="4"/>
      <c r="H40" s="4"/>
      <c r="I40" s="4"/>
      <c r="J40" s="4"/>
    </row>
    <row r="41" spans="1:10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4:J34"/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2025-07-10T03:58:37Z</dcterms:created>
  <dcterms:modified xsi:type="dcterms:W3CDTF">2025-07-10T03:59:16Z</dcterms:modified>
</cp:coreProperties>
</file>