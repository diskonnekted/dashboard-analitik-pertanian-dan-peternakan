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B87FB97-5340-4497-8ED1-81072854F8C6}" xr6:coauthVersionLast="47" xr6:coauthVersionMax="47" xr10:uidLastSave="{00000000-0000-0000-0000-000000000000}"/>
  <bookViews>
    <workbookView xWindow="28680" yWindow="-120" windowWidth="29040" windowHeight="15720" xr2:uid="{939FD530-A5AE-42BB-A06D-DA809CB61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F33" i="1"/>
  <c r="I32" i="1"/>
  <c r="F32" i="1"/>
  <c r="I31" i="1"/>
  <c r="F31" i="1"/>
  <c r="I30" i="1"/>
  <c r="F30" i="1"/>
  <c r="H29" i="1"/>
  <c r="G29" i="1"/>
  <c r="E29" i="1"/>
  <c r="D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I29" i="1" l="1"/>
  <c r="F29" i="1"/>
</calcChain>
</file>

<file path=xl/sharedStrings.xml><?xml version="1.0" encoding="utf-8"?>
<sst xmlns="http://schemas.openxmlformats.org/spreadsheetml/2006/main" count="78" uniqueCount="69">
  <si>
    <t>Tahun 2019</t>
  </si>
  <si>
    <t>Tahun 2020</t>
  </si>
  <si>
    <t>Tahun 2021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</si>
  <si>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</si>
  <si>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</si>
  <si>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Tabel : 5.1.2</t>
  </si>
  <si>
    <t>Tahun 2023</t>
  </si>
  <si>
    <t>Table</t>
  </si>
  <si>
    <t>Kecamatan</t>
  </si>
  <si>
    <r>
      <rPr>
        <sz val="9"/>
        <color theme="1"/>
        <rFont val="Calibri"/>
        <family val="2"/>
      </rPr>
      <t xml:space="preserve">Jagung                                                        </t>
    </r>
    <r>
      <rPr>
        <i/>
        <sz val="9"/>
        <color theme="1"/>
        <rFont val="Calibri"/>
        <family val="2"/>
      </rPr>
      <t>Maize</t>
    </r>
  </si>
  <si>
    <r>
      <rPr>
        <sz val="9"/>
        <color theme="1"/>
        <rFont val="Calibri"/>
        <family val="2"/>
      </rPr>
      <t xml:space="preserve">Ubi Kayu                                                           </t>
    </r>
    <r>
      <rPr>
        <i/>
        <sz val="9"/>
        <color theme="1"/>
        <rFont val="Calibri"/>
        <family val="2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</si>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</sst>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_(* #,##0.00_);_(* \(#,##0.00\);_(* \-??_);_(@_)"/>
    <numFmt numFmtId="166" formatCode="_(* #,##0_);_(* \(#,##0\);_(* \-??_);_(@_)"/>
    <numFmt numFmtId="167" formatCode="_(* #,##0.00_);_(* \(#,##0.00\);_(* \-_);_(@_)"/>
    <numFmt numFmtId="168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7" fontId="6" fillId="0" borderId="0" xfId="1" applyNumberFormat="1" applyFont="1" applyAlignment="1">
      <alignment horizontal="left"/>
    </xf>
    <xf numFmtId="165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right"/>
    </xf>
    <xf numFmtId="165" fontId="3" fillId="2" borderId="3" xfId="1" applyNumberFormat="1" applyFont="1" applyFill="1" applyBorder="1" applyAlignment="1">
      <alignment horizontal="left" vertical="center"/>
    </xf>
    <xf numFmtId="166" fontId="3" fillId="2" borderId="3" xfId="1" applyNumberFormat="1" applyFont="1" applyFill="1" applyBorder="1" applyAlignment="1">
      <alignment horizontal="center" vertical="center"/>
    </xf>
    <xf numFmtId="0" fontId="9" fillId="0" borderId="3" xfId="1" applyFont="1" applyBorder="1"/>
    <xf numFmtId="165" fontId="3" fillId="2" borderId="6" xfId="1" applyNumberFormat="1" applyFont="1" applyFill="1" applyBorder="1" applyAlignment="1">
      <alignment horizontal="left" vertical="center"/>
    </xf>
    <xf numFmtId="168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165" fontId="3" fillId="0" borderId="7" xfId="1" applyNumberFormat="1" applyFont="1" applyBorder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8" fontId="4" fillId="0" borderId="0" xfId="1" applyNumberFormat="1" applyFont="1" applyAlignment="1">
      <alignment horizontal="left" vertical="center"/>
    </xf>
    <xf numFmtId="168" fontId="4" fillId="3" borderId="0" xfId="1" applyNumberFormat="1" applyFont="1" applyFill="1" applyAlignment="1">
      <alignment horizontal="left" vertical="center"/>
    </xf>
    <xf numFmtId="0" fontId="4" fillId="0" borderId="1" xfId="1" applyFont="1" applyBorder="1"/>
    <xf numFmtId="0" fontId="11" fillId="0" borderId="0" xfId="1" applyFont="1"/>
  </cellXfs>
  <cellStyles count="3">
    <cellStyle name="Comma [0] 3" xfId="2" xr:uid="{D76D2F0D-1B9D-4DAD-B96B-D7F3911D5EA8}"/>
    <cellStyle name="Normal" xfId="0" builtinId="0"/>
    <cellStyle name="Normal 4" xfId="1" xr:uid="{FF0AF5AD-5E80-4EEF-89E4-A03924E9E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E682-336F-45CB-B91E-8673044F903E}">
  <dimension ref="A1:I996"/>
  <sheetViews>
    <sheetView tabSelected="1" workbookViewId="0">
      <selection activeCell="K12" sqref="K12"/>
    </sheetView>
  </sheetViews>
  <sheetFormatPr defaultColWidth="14.44140625" defaultRowHeight="13.2" x14ac:dyDescent="0.25"/>
  <cols>
    <col min="1" max="1" width="3.21875" style="6" customWidth="1"/>
    <col min="2" max="2" width="9.21875" style="6" customWidth="1"/>
    <col min="3" max="3" width="4.21875" style="6" customWidth="1"/>
    <col min="4" max="4" width="9.21875" style="6" customWidth="1"/>
    <col min="5" max="5" width="10.77734375" style="6" customWidth="1"/>
    <col min="6" max="6" width="9.21875" style="6" customWidth="1"/>
    <col min="7" max="7" width="9.44140625" style="6" customWidth="1"/>
    <col min="8" max="8" width="11.44140625" style="6" customWidth="1"/>
    <col min="9" max="9" width="7.77734375" style="6" customWidth="1"/>
    <col min="10" max="16384" width="14.44140625" style="6"/>
  </cols>
  <sheetData>
    <row r="1" spans="1:9" ht="12.75" customHeight="1" x14ac:dyDescent="0.3">
      <c r="A1" s="1" t="s">
        <v>5</v>
      </c>
      <c r="B1" s="2"/>
      <c r="C1" s="3" t="s">
        <v>3</v>
      </c>
      <c r="D1" s="4"/>
      <c r="E1" s="4"/>
      <c r="F1" s="4"/>
      <c r="G1" s="4"/>
      <c r="H1" s="4"/>
      <c r="I1" s="7" t="s">
        <v>6</v>
      </c>
    </row>
    <row r="2" spans="1:9" ht="15" thickBot="1" x14ac:dyDescent="0.35">
      <c r="A2" s="8" t="s">
        <v>7</v>
      </c>
      <c r="B2" s="4"/>
      <c r="C2" s="4"/>
      <c r="D2" s="3"/>
      <c r="E2" s="3"/>
      <c r="F2" s="3"/>
      <c r="G2" s="3"/>
      <c r="H2" s="3"/>
      <c r="I2" s="3"/>
    </row>
    <row r="3" spans="1:9" ht="24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24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5"/>
      <c r="B8" s="5"/>
      <c r="C8" s="21"/>
      <c r="D8" s="21"/>
      <c r="E8" s="21"/>
      <c r="F8" s="5"/>
      <c r="G8" s="5"/>
      <c r="H8" s="5"/>
      <c r="I8" s="5"/>
    </row>
    <row r="9" spans="1:9" ht="14.4" x14ac:dyDescent="0.3">
      <c r="A9" s="22" t="s">
        <v>27</v>
      </c>
      <c r="B9" s="23" t="s">
        <v>28</v>
      </c>
      <c r="C9" s="23"/>
      <c r="D9" s="25">
        <v>418</v>
      </c>
      <c r="E9" s="25">
        <v>2618.3200000000002</v>
      </c>
      <c r="F9" s="26">
        <f>SUM(E9/D9)*10</f>
        <v>62.639234449760764</v>
      </c>
      <c r="G9" s="27">
        <v>0</v>
      </c>
      <c r="H9" s="27">
        <v>0</v>
      </c>
      <c r="I9" s="27">
        <v>0</v>
      </c>
    </row>
    <row r="10" spans="1:9" ht="14.4" x14ac:dyDescent="0.3">
      <c r="A10" s="22" t="s">
        <v>29</v>
      </c>
      <c r="B10" s="23" t="s">
        <v>30</v>
      </c>
      <c r="C10" s="23"/>
      <c r="D10" s="25">
        <v>31</v>
      </c>
      <c r="E10" s="25">
        <v>185</v>
      </c>
      <c r="F10" s="26">
        <f t="shared" ref="F10:F28" si="0">SUM(E10/D10)*10</f>
        <v>59.677419354838712</v>
      </c>
      <c r="G10" s="27">
        <v>15</v>
      </c>
      <c r="H10" s="27">
        <v>390</v>
      </c>
      <c r="I10" s="24">
        <v>260</v>
      </c>
    </row>
    <row r="11" spans="1:9" ht="14.4" x14ac:dyDescent="0.3">
      <c r="A11" s="22" t="s">
        <v>31</v>
      </c>
      <c r="B11" s="23" t="s">
        <v>32</v>
      </c>
      <c r="C11" s="23"/>
      <c r="D11" s="25">
        <v>358</v>
      </c>
      <c r="E11" s="25">
        <v>2724</v>
      </c>
      <c r="F11" s="26">
        <f t="shared" si="0"/>
        <v>76.089385474860336</v>
      </c>
      <c r="G11" s="27">
        <v>305</v>
      </c>
      <c r="H11" s="27">
        <v>10505</v>
      </c>
      <c r="I11" s="24">
        <v>344.42622950819674</v>
      </c>
    </row>
    <row r="12" spans="1:9" ht="14.4" x14ac:dyDescent="0.3">
      <c r="A12" s="22" t="s">
        <v>33</v>
      </c>
      <c r="B12" s="23" t="s">
        <v>34</v>
      </c>
      <c r="C12" s="23"/>
      <c r="D12" s="25">
        <v>2149</v>
      </c>
      <c r="E12" s="25">
        <v>16995</v>
      </c>
      <c r="F12" s="26">
        <f t="shared" si="0"/>
        <v>79.083294555607267</v>
      </c>
      <c r="G12" s="27">
        <v>912</v>
      </c>
      <c r="H12" s="27">
        <v>32397</v>
      </c>
      <c r="I12" s="24">
        <v>355.23026315789474</v>
      </c>
    </row>
    <row r="13" spans="1:9" ht="14.4" x14ac:dyDescent="0.3">
      <c r="A13" s="22" t="s">
        <v>35</v>
      </c>
      <c r="B13" s="23" t="s">
        <v>36</v>
      </c>
      <c r="C13" s="23"/>
      <c r="D13" s="25">
        <v>1232</v>
      </c>
      <c r="E13" s="25">
        <v>7861</v>
      </c>
      <c r="F13" s="26">
        <f t="shared" si="0"/>
        <v>63.806818181818187</v>
      </c>
      <c r="G13" s="27">
        <v>733</v>
      </c>
      <c r="H13" s="27">
        <v>19698</v>
      </c>
      <c r="I13" s="24">
        <v>268.73124147339701</v>
      </c>
    </row>
    <row r="14" spans="1:9" ht="14.4" x14ac:dyDescent="0.3">
      <c r="A14" s="22" t="s">
        <v>37</v>
      </c>
      <c r="B14" s="23" t="s">
        <v>38</v>
      </c>
      <c r="C14" s="23"/>
      <c r="D14" s="25">
        <v>96</v>
      </c>
      <c r="E14" s="25">
        <v>714.75</v>
      </c>
      <c r="F14" s="26">
        <f t="shared" si="0"/>
        <v>74.453125</v>
      </c>
      <c r="G14" s="27">
        <v>19</v>
      </c>
      <c r="H14" s="27">
        <v>434</v>
      </c>
      <c r="I14" s="24">
        <v>228.42105263157893</v>
      </c>
    </row>
    <row r="15" spans="1:9" ht="14.4" x14ac:dyDescent="0.3">
      <c r="A15" s="22" t="s">
        <v>39</v>
      </c>
      <c r="B15" s="23" t="s">
        <v>40</v>
      </c>
      <c r="C15" s="23"/>
      <c r="D15" s="25">
        <v>108</v>
      </c>
      <c r="E15" s="25">
        <v>648</v>
      </c>
      <c r="F15" s="26">
        <f t="shared" si="0"/>
        <v>60</v>
      </c>
      <c r="G15" s="27">
        <v>140</v>
      </c>
      <c r="H15" s="27">
        <v>2760</v>
      </c>
      <c r="I15" s="24">
        <v>197.14285714285717</v>
      </c>
    </row>
    <row r="16" spans="1:9" ht="14.4" x14ac:dyDescent="0.3">
      <c r="A16" s="22" t="s">
        <v>41</v>
      </c>
      <c r="B16" s="23" t="s">
        <v>42</v>
      </c>
      <c r="C16" s="23"/>
      <c r="D16" s="25">
        <v>17</v>
      </c>
      <c r="E16" s="25">
        <v>111.4</v>
      </c>
      <c r="F16" s="26">
        <f t="shared" si="0"/>
        <v>65.529411764705884</v>
      </c>
      <c r="G16" s="27">
        <v>0</v>
      </c>
      <c r="H16" s="27">
        <v>0</v>
      </c>
      <c r="I16" s="27">
        <v>0</v>
      </c>
    </row>
    <row r="17" spans="1:9" ht="14.4" x14ac:dyDescent="0.3">
      <c r="A17" s="22" t="s">
        <v>43</v>
      </c>
      <c r="B17" s="23" t="s">
        <v>44</v>
      </c>
      <c r="C17" s="23"/>
      <c r="D17" s="25">
        <v>28</v>
      </c>
      <c r="E17" s="25">
        <v>154</v>
      </c>
      <c r="F17" s="26">
        <f t="shared" si="0"/>
        <v>55</v>
      </c>
      <c r="G17" s="27">
        <v>0</v>
      </c>
      <c r="H17" s="27">
        <v>0</v>
      </c>
      <c r="I17" s="27">
        <v>0</v>
      </c>
    </row>
    <row r="18" spans="1:9" ht="14.4" x14ac:dyDescent="0.3">
      <c r="A18" s="22" t="s">
        <v>45</v>
      </c>
      <c r="B18" s="23" t="s">
        <v>46</v>
      </c>
      <c r="C18" s="23"/>
      <c r="D18" s="25">
        <v>14</v>
      </c>
      <c r="E18" s="25">
        <v>74.599999999999994</v>
      </c>
      <c r="F18" s="26">
        <f t="shared" si="0"/>
        <v>53.285714285714285</v>
      </c>
      <c r="G18" s="27">
        <v>20</v>
      </c>
      <c r="H18" s="27">
        <v>407</v>
      </c>
      <c r="I18" s="24">
        <v>203.5</v>
      </c>
    </row>
    <row r="19" spans="1:9" ht="14.4" x14ac:dyDescent="0.3">
      <c r="A19" s="22" t="s">
        <v>47</v>
      </c>
      <c r="B19" s="23" t="s">
        <v>48</v>
      </c>
      <c r="C19" s="23"/>
      <c r="D19" s="25">
        <v>27</v>
      </c>
      <c r="E19" s="25">
        <v>198</v>
      </c>
      <c r="F19" s="26">
        <f t="shared" si="0"/>
        <v>73.333333333333329</v>
      </c>
      <c r="G19" s="27">
        <v>82</v>
      </c>
      <c r="H19" s="27">
        <v>1991</v>
      </c>
      <c r="I19" s="24">
        <v>242.80487804878049</v>
      </c>
    </row>
    <row r="20" spans="1:9" ht="14.4" x14ac:dyDescent="0.3">
      <c r="A20" s="22" t="s">
        <v>49</v>
      </c>
      <c r="B20" s="23" t="s">
        <v>50</v>
      </c>
      <c r="C20" s="23"/>
      <c r="D20" s="25">
        <v>302</v>
      </c>
      <c r="E20" s="25">
        <v>2092.1999999999998</v>
      </c>
      <c r="F20" s="26">
        <f t="shared" si="0"/>
        <v>69.278145695364231</v>
      </c>
      <c r="G20" s="27">
        <v>271</v>
      </c>
      <c r="H20" s="27">
        <v>6980</v>
      </c>
      <c r="I20" s="24">
        <v>257.56457564575646</v>
      </c>
    </row>
    <row r="21" spans="1:9" ht="14.4" x14ac:dyDescent="0.3">
      <c r="A21" s="22" t="s">
        <v>51</v>
      </c>
      <c r="B21" s="23" t="s">
        <v>52</v>
      </c>
      <c r="C21" s="23"/>
      <c r="D21" s="25">
        <v>111</v>
      </c>
      <c r="E21" s="25">
        <v>754.8</v>
      </c>
      <c r="F21" s="26">
        <f t="shared" si="0"/>
        <v>68</v>
      </c>
      <c r="G21" s="27">
        <v>247</v>
      </c>
      <c r="H21" s="27">
        <v>4346</v>
      </c>
      <c r="I21" s="24">
        <v>175.95141700404861</v>
      </c>
    </row>
    <row r="22" spans="1:9" ht="14.4" x14ac:dyDescent="0.3">
      <c r="A22" s="22" t="s">
        <v>53</v>
      </c>
      <c r="B22" s="23" t="s">
        <v>54</v>
      </c>
      <c r="C22" s="23"/>
      <c r="D22" s="25">
        <v>49</v>
      </c>
      <c r="E22" s="25">
        <v>167.7</v>
      </c>
      <c r="F22" s="26">
        <f t="shared" si="0"/>
        <v>34.224489795918366</v>
      </c>
      <c r="G22" s="27">
        <v>33</v>
      </c>
      <c r="H22" s="27">
        <v>587.4</v>
      </c>
      <c r="I22" s="24">
        <v>178</v>
      </c>
    </row>
    <row r="23" spans="1:9" ht="14.4" x14ac:dyDescent="0.3">
      <c r="A23" s="22" t="s">
        <v>55</v>
      </c>
      <c r="B23" s="23" t="s">
        <v>56</v>
      </c>
      <c r="C23" s="23"/>
      <c r="D23" s="25">
        <v>75</v>
      </c>
      <c r="E23" s="25">
        <v>325</v>
      </c>
      <c r="F23" s="26">
        <f t="shared" si="0"/>
        <v>43.333333333333329</v>
      </c>
      <c r="G23" s="27">
        <v>29</v>
      </c>
      <c r="H23" s="27">
        <v>348</v>
      </c>
      <c r="I23" s="24">
        <v>120</v>
      </c>
    </row>
    <row r="24" spans="1:9" ht="14.4" x14ac:dyDescent="0.3">
      <c r="A24" s="22" t="s">
        <v>57</v>
      </c>
      <c r="B24" s="23" t="s">
        <v>58</v>
      </c>
      <c r="C24" s="23"/>
      <c r="D24" s="25">
        <v>288</v>
      </c>
      <c r="E24" s="25">
        <v>1485</v>
      </c>
      <c r="F24" s="26">
        <f t="shared" si="0"/>
        <v>51.5625</v>
      </c>
      <c r="G24" s="27">
        <v>46</v>
      </c>
      <c r="H24" s="27">
        <v>564.5</v>
      </c>
      <c r="I24" s="24">
        <v>122.71739130434783</v>
      </c>
    </row>
    <row r="25" spans="1:9" ht="14.4" x14ac:dyDescent="0.3">
      <c r="A25" s="22" t="s">
        <v>59</v>
      </c>
      <c r="B25" s="23" t="s">
        <v>60</v>
      </c>
      <c r="C25" s="23"/>
      <c r="D25" s="25">
        <v>53</v>
      </c>
      <c r="E25" s="25">
        <v>209</v>
      </c>
      <c r="F25" s="26">
        <f t="shared" si="0"/>
        <v>39.433962264150942</v>
      </c>
      <c r="G25" s="27">
        <v>0</v>
      </c>
      <c r="H25" s="27">
        <v>0</v>
      </c>
      <c r="I25" s="27">
        <v>0</v>
      </c>
    </row>
    <row r="26" spans="1:9" ht="14.4" x14ac:dyDescent="0.3">
      <c r="A26" s="22" t="s">
        <v>61</v>
      </c>
      <c r="B26" s="23" t="s">
        <v>62</v>
      </c>
      <c r="C26" s="23"/>
      <c r="D26" s="28">
        <v>47</v>
      </c>
      <c r="E26" s="25">
        <v>187</v>
      </c>
      <c r="F26" s="26">
        <f t="shared" si="0"/>
        <v>39.787234042553187</v>
      </c>
      <c r="G26" s="27">
        <v>10</v>
      </c>
      <c r="H26" s="27">
        <v>200</v>
      </c>
      <c r="I26" s="24">
        <v>200</v>
      </c>
    </row>
    <row r="27" spans="1:9" ht="14.4" x14ac:dyDescent="0.3">
      <c r="A27" s="22" t="s">
        <v>63</v>
      </c>
      <c r="B27" s="23" t="s">
        <v>64</v>
      </c>
      <c r="C27" s="23"/>
      <c r="D27" s="25">
        <v>1243</v>
      </c>
      <c r="E27" s="25">
        <v>5226</v>
      </c>
      <c r="F27" s="26">
        <f t="shared" si="0"/>
        <v>42.043443282381332</v>
      </c>
      <c r="G27" s="27">
        <v>75</v>
      </c>
      <c r="H27" s="27">
        <v>1800</v>
      </c>
      <c r="I27" s="24">
        <v>240</v>
      </c>
    </row>
    <row r="28" spans="1:9" ht="14.4" x14ac:dyDescent="0.3">
      <c r="A28" s="22" t="s">
        <v>65</v>
      </c>
      <c r="B28" s="23" t="s">
        <v>66</v>
      </c>
      <c r="C28" s="23"/>
      <c r="D28" s="25">
        <v>359</v>
      </c>
      <c r="E28" s="25">
        <v>1441.5</v>
      </c>
      <c r="F28" s="26">
        <f t="shared" si="0"/>
        <v>40.153203342618383</v>
      </c>
      <c r="G28" s="27">
        <v>15</v>
      </c>
      <c r="H28" s="27">
        <v>180</v>
      </c>
      <c r="I28" s="24">
        <v>120</v>
      </c>
    </row>
    <row r="29" spans="1:9" ht="15" thickBot="1" x14ac:dyDescent="0.3">
      <c r="A29" s="30" t="s">
        <v>67</v>
      </c>
      <c r="B29" s="31"/>
      <c r="C29" s="31"/>
      <c r="D29" s="29">
        <f t="shared" ref="D29:E29" si="1">SUM(D9:D28)</f>
        <v>7005</v>
      </c>
      <c r="E29" s="29">
        <f t="shared" si="1"/>
        <v>44172.27</v>
      </c>
      <c r="F29" s="32">
        <f>SUM(E29/D29)*10</f>
        <v>63.058201284796567</v>
      </c>
      <c r="G29" s="29">
        <f t="shared" ref="G29:H29" si="2">SUM(G9:G28)</f>
        <v>2952</v>
      </c>
      <c r="H29" s="29">
        <f t="shared" si="2"/>
        <v>83587.899999999994</v>
      </c>
      <c r="I29" s="29">
        <f>SUM(H29/G29)*10</f>
        <v>283.15684281842817</v>
      </c>
    </row>
    <row r="30" spans="1:9" ht="15" thickTop="1" x14ac:dyDescent="0.25">
      <c r="A30" s="33" t="s">
        <v>4</v>
      </c>
      <c r="B30" s="10"/>
      <c r="C30" s="10"/>
      <c r="D30" s="34">
        <v>6105</v>
      </c>
      <c r="E30" s="34">
        <v>40132.450000000004</v>
      </c>
      <c r="F30" s="35">
        <f t="shared" ref="F30:F33" si="3">SUM(E30/D30)*10</f>
        <v>65.737018837018852</v>
      </c>
      <c r="G30" s="34">
        <v>4183</v>
      </c>
      <c r="H30" s="34">
        <v>124401.85</v>
      </c>
      <c r="I30" s="36">
        <f t="shared" ref="I30:I33" si="4">SUM(H30/G30)*10</f>
        <v>297.39863734162088</v>
      </c>
    </row>
    <row r="31" spans="1:9" ht="14.4" x14ac:dyDescent="0.25">
      <c r="A31" s="37" t="s">
        <v>2</v>
      </c>
      <c r="B31" s="2"/>
      <c r="C31" s="2"/>
      <c r="D31" s="38">
        <v>7853</v>
      </c>
      <c r="E31" s="38">
        <v>51949.82</v>
      </c>
      <c r="F31" s="35">
        <f t="shared" si="3"/>
        <v>66.152833312110019</v>
      </c>
      <c r="G31" s="38">
        <v>4597</v>
      </c>
      <c r="H31" s="38">
        <v>130274.21</v>
      </c>
      <c r="I31" s="35">
        <f t="shared" si="4"/>
        <v>283.38962366760933</v>
      </c>
    </row>
    <row r="32" spans="1:9" ht="14.4" x14ac:dyDescent="0.25">
      <c r="A32" s="37" t="s">
        <v>1</v>
      </c>
      <c r="B32" s="2"/>
      <c r="C32" s="2"/>
      <c r="D32" s="38">
        <v>8664</v>
      </c>
      <c r="E32" s="38">
        <v>63108</v>
      </c>
      <c r="F32" s="35">
        <f t="shared" si="3"/>
        <v>72.8393351800554</v>
      </c>
      <c r="G32" s="38">
        <v>3722</v>
      </c>
      <c r="H32" s="39">
        <v>102655</v>
      </c>
      <c r="I32" s="35">
        <f t="shared" si="4"/>
        <v>275.80601826974748</v>
      </c>
    </row>
    <row r="33" spans="1:9" ht="15" thickBot="1" x14ac:dyDescent="0.3">
      <c r="A33" s="37" t="s">
        <v>0</v>
      </c>
      <c r="B33" s="2"/>
      <c r="C33" s="2"/>
      <c r="D33" s="38">
        <v>9117.2999999999993</v>
      </c>
      <c r="E33" s="38">
        <v>50645.24</v>
      </c>
      <c r="F33" s="35">
        <f t="shared" si="3"/>
        <v>55.548506685093173</v>
      </c>
      <c r="G33" s="38">
        <v>3474</v>
      </c>
      <c r="H33" s="39">
        <v>84910.3</v>
      </c>
      <c r="I33" s="35">
        <f t="shared" si="4"/>
        <v>244.41652274035692</v>
      </c>
    </row>
    <row r="34" spans="1:9" ht="13.5" customHeight="1" thickTop="1" x14ac:dyDescent="0.3">
      <c r="A34" s="40" t="s">
        <v>68</v>
      </c>
      <c r="B34" s="40"/>
      <c r="C34" s="40"/>
      <c r="D34" s="40"/>
      <c r="E34" s="40"/>
      <c r="F34" s="40"/>
      <c r="G34" s="40"/>
      <c r="H34" s="40"/>
      <c r="I34" s="40"/>
    </row>
    <row r="35" spans="1:9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9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</row>
    <row r="39" spans="1:9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</row>
    <row r="40" spans="1:9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</row>
    <row r="41" spans="1:9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</row>
    <row r="42" spans="1:9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</row>
    <row r="43" spans="1:9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</row>
    <row r="44" spans="1:9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</row>
    <row r="45" spans="1:9" ht="12.75" customHeight="1" x14ac:dyDescent="0.25">
      <c r="D45" s="41"/>
    </row>
    <row r="46" spans="1:9" ht="12.75" customHeight="1" x14ac:dyDescent="0.25">
      <c r="D46" s="41"/>
    </row>
    <row r="47" spans="1:9" ht="12.75" customHeight="1" x14ac:dyDescent="0.25">
      <c r="D47" s="41"/>
    </row>
    <row r="48" spans="1:9" ht="12.75" customHeight="1" x14ac:dyDescent="0.25">
      <c r="D48" s="41"/>
    </row>
    <row r="49" spans="4:4" ht="12.75" customHeight="1" x14ac:dyDescent="0.25">
      <c r="D49" s="41"/>
    </row>
    <row r="50" spans="4:4" ht="12.75" customHeight="1" x14ac:dyDescent="0.25">
      <c r="D50" s="41"/>
    </row>
    <row r="51" spans="4:4" ht="12.75" customHeight="1" x14ac:dyDescent="0.25">
      <c r="D51" s="41"/>
    </row>
    <row r="52" spans="4:4" ht="12.75" customHeight="1" x14ac:dyDescent="0.25">
      <c r="D52" s="41"/>
    </row>
    <row r="53" spans="4:4" ht="12.75" customHeight="1" x14ac:dyDescent="0.25">
      <c r="D53" s="41"/>
    </row>
    <row r="54" spans="4:4" ht="12.75" customHeight="1" x14ac:dyDescent="0.25">
      <c r="D54" s="41"/>
    </row>
    <row r="55" spans="4:4" ht="12.75" customHeight="1" x14ac:dyDescent="0.25">
      <c r="D55" s="41"/>
    </row>
    <row r="56" spans="4:4" ht="12.75" customHeight="1" x14ac:dyDescent="0.25">
      <c r="D56" s="41"/>
    </row>
    <row r="57" spans="4:4" ht="12.75" customHeight="1" x14ac:dyDescent="0.25">
      <c r="D57" s="41"/>
    </row>
    <row r="58" spans="4:4" ht="12.75" customHeight="1" x14ac:dyDescent="0.25">
      <c r="D58" s="41"/>
    </row>
    <row r="59" spans="4:4" ht="12.75" customHeight="1" x14ac:dyDescent="0.25">
      <c r="D59" s="41"/>
    </row>
    <row r="60" spans="4:4" ht="12.75" customHeight="1" x14ac:dyDescent="0.25">
      <c r="D60" s="41"/>
    </row>
    <row r="61" spans="4:4" ht="12.75" customHeight="1" x14ac:dyDescent="0.25">
      <c r="D61" s="41"/>
    </row>
    <row r="62" spans="4:4" ht="12.75" customHeight="1" x14ac:dyDescent="0.25">
      <c r="D62" s="41"/>
    </row>
    <row r="63" spans="4:4" ht="12.75" customHeight="1" x14ac:dyDescent="0.25">
      <c r="D63" s="41"/>
    </row>
    <row r="64" spans="4:4" ht="12.75" customHeight="1" x14ac:dyDescent="0.25">
      <c r="D64" s="41"/>
    </row>
    <row r="65" spans="4:4" ht="12.75" customHeight="1" x14ac:dyDescent="0.25">
      <c r="D65" s="41"/>
    </row>
    <row r="66" spans="4:4" ht="12.75" customHeight="1" x14ac:dyDescent="0.25">
      <c r="D66" s="41"/>
    </row>
    <row r="67" spans="4:4" ht="12.75" customHeight="1" x14ac:dyDescent="0.25">
      <c r="D67" s="41"/>
    </row>
    <row r="68" spans="4:4" ht="12.75" customHeight="1" x14ac:dyDescent="0.25">
      <c r="D68" s="41"/>
    </row>
    <row r="69" spans="4:4" ht="12.75" customHeight="1" x14ac:dyDescent="0.25">
      <c r="D69" s="41"/>
    </row>
    <row r="70" spans="4:4" ht="12.75" customHeight="1" x14ac:dyDescent="0.25">
      <c r="D70" s="41"/>
    </row>
    <row r="71" spans="4:4" ht="12.75" customHeight="1" x14ac:dyDescent="0.25">
      <c r="D71" s="41"/>
    </row>
    <row r="72" spans="4:4" ht="12.75" customHeight="1" x14ac:dyDescent="0.25">
      <c r="D72" s="41"/>
    </row>
    <row r="73" spans="4:4" ht="12.75" customHeight="1" x14ac:dyDescent="0.25">
      <c r="D73" s="41"/>
    </row>
    <row r="74" spans="4:4" ht="12.75" customHeight="1" x14ac:dyDescent="0.25">
      <c r="D74" s="41"/>
    </row>
    <row r="75" spans="4:4" ht="12.75" customHeight="1" x14ac:dyDescent="0.25">
      <c r="D75" s="41"/>
    </row>
    <row r="76" spans="4:4" ht="12.75" customHeight="1" x14ac:dyDescent="0.25">
      <c r="D76" s="41"/>
    </row>
    <row r="77" spans="4:4" ht="12.75" customHeight="1" x14ac:dyDescent="0.25">
      <c r="D77" s="41"/>
    </row>
    <row r="78" spans="4:4" ht="12.75" customHeight="1" x14ac:dyDescent="0.25">
      <c r="D78" s="41"/>
    </row>
    <row r="79" spans="4:4" ht="12.75" customHeight="1" x14ac:dyDescent="0.25">
      <c r="D79" s="41"/>
    </row>
    <row r="80" spans="4:4" ht="12.75" customHeight="1" x14ac:dyDescent="0.25">
      <c r="D80" s="41"/>
    </row>
    <row r="81" spans="4:4" ht="12.75" customHeight="1" x14ac:dyDescent="0.25">
      <c r="D81" s="41"/>
    </row>
    <row r="82" spans="4:4" ht="12.75" customHeight="1" x14ac:dyDescent="0.25">
      <c r="D82" s="41"/>
    </row>
    <row r="83" spans="4:4" ht="12.75" customHeight="1" x14ac:dyDescent="0.25">
      <c r="D83" s="41"/>
    </row>
    <row r="84" spans="4:4" ht="12.75" customHeight="1" x14ac:dyDescent="0.25">
      <c r="D84" s="41"/>
    </row>
    <row r="85" spans="4:4" ht="12.75" customHeight="1" x14ac:dyDescent="0.25">
      <c r="D85" s="41"/>
    </row>
    <row r="86" spans="4:4" ht="12.75" customHeight="1" x14ac:dyDescent="0.25">
      <c r="D86" s="41"/>
    </row>
    <row r="87" spans="4:4" ht="12.75" customHeight="1" x14ac:dyDescent="0.25">
      <c r="D87" s="41"/>
    </row>
    <row r="88" spans="4:4" ht="12.75" customHeight="1" x14ac:dyDescent="0.25">
      <c r="D88" s="41"/>
    </row>
    <row r="89" spans="4:4" ht="12.75" customHeight="1" x14ac:dyDescent="0.25">
      <c r="D89" s="41"/>
    </row>
    <row r="90" spans="4:4" ht="12.75" customHeight="1" x14ac:dyDescent="0.25">
      <c r="D90" s="41"/>
    </row>
    <row r="91" spans="4:4" ht="12.75" customHeight="1" x14ac:dyDescent="0.25">
      <c r="D91" s="41"/>
    </row>
    <row r="92" spans="4:4" ht="12.75" customHeight="1" x14ac:dyDescent="0.25">
      <c r="D92" s="41"/>
    </row>
    <row r="93" spans="4:4" ht="12.75" customHeight="1" x14ac:dyDescent="0.25">
      <c r="D93" s="41"/>
    </row>
    <row r="94" spans="4:4" ht="12.75" customHeight="1" x14ac:dyDescent="0.25">
      <c r="D94" s="41"/>
    </row>
    <row r="95" spans="4:4" ht="12.75" customHeight="1" x14ac:dyDescent="0.25">
      <c r="D95" s="41"/>
    </row>
    <row r="96" spans="4:4" ht="12.75" customHeight="1" x14ac:dyDescent="0.25">
      <c r="D96" s="41"/>
    </row>
    <row r="97" spans="4:4" ht="12.75" customHeight="1" x14ac:dyDescent="0.25">
      <c r="D97" s="41"/>
    </row>
    <row r="98" spans="4:4" ht="12.75" customHeight="1" x14ac:dyDescent="0.25">
      <c r="D98" s="41"/>
    </row>
    <row r="99" spans="4:4" ht="12.75" customHeight="1" x14ac:dyDescent="0.25">
      <c r="D99" s="41"/>
    </row>
    <row r="100" spans="4:4" ht="12.75" customHeight="1" x14ac:dyDescent="0.25">
      <c r="D100" s="41"/>
    </row>
    <row r="101" spans="4:4" ht="12.75" customHeight="1" x14ac:dyDescent="0.25">
      <c r="D101" s="41"/>
    </row>
    <row r="102" spans="4:4" ht="12.75" customHeight="1" x14ac:dyDescent="0.25">
      <c r="D102" s="41"/>
    </row>
    <row r="103" spans="4:4" ht="12.75" customHeight="1" x14ac:dyDescent="0.25">
      <c r="D103" s="41"/>
    </row>
    <row r="104" spans="4:4" ht="12.75" customHeight="1" x14ac:dyDescent="0.25">
      <c r="D104" s="41"/>
    </row>
    <row r="105" spans="4:4" ht="12.75" customHeight="1" x14ac:dyDescent="0.25">
      <c r="D105" s="41"/>
    </row>
    <row r="106" spans="4:4" ht="12.75" customHeight="1" x14ac:dyDescent="0.25">
      <c r="D106" s="41"/>
    </row>
    <row r="107" spans="4:4" ht="12.75" customHeight="1" x14ac:dyDescent="0.25">
      <c r="D107" s="41"/>
    </row>
    <row r="108" spans="4:4" ht="12.75" customHeight="1" x14ac:dyDescent="0.25">
      <c r="D108" s="41"/>
    </row>
    <row r="109" spans="4:4" ht="12.75" customHeight="1" x14ac:dyDescent="0.25">
      <c r="D109" s="41"/>
    </row>
    <row r="110" spans="4:4" ht="12.75" customHeight="1" x14ac:dyDescent="0.25">
      <c r="D110" s="41"/>
    </row>
    <row r="111" spans="4:4" ht="12.75" customHeight="1" x14ac:dyDescent="0.25">
      <c r="D111" s="41"/>
    </row>
    <row r="112" spans="4:4" ht="12.75" customHeight="1" x14ac:dyDescent="0.25">
      <c r="D112" s="41"/>
    </row>
    <row r="113" spans="4:4" ht="12.75" customHeight="1" x14ac:dyDescent="0.25">
      <c r="D113" s="41"/>
    </row>
    <row r="114" spans="4:4" ht="12.75" customHeight="1" x14ac:dyDescent="0.25">
      <c r="D114" s="41"/>
    </row>
    <row r="115" spans="4:4" ht="12.75" customHeight="1" x14ac:dyDescent="0.25">
      <c r="D115" s="41"/>
    </row>
    <row r="116" spans="4:4" ht="12.75" customHeight="1" x14ac:dyDescent="0.25">
      <c r="D116" s="41"/>
    </row>
    <row r="117" spans="4:4" ht="12.75" customHeight="1" x14ac:dyDescent="0.25">
      <c r="D117" s="41"/>
    </row>
    <row r="118" spans="4:4" ht="12.75" customHeight="1" x14ac:dyDescent="0.25">
      <c r="D118" s="41"/>
    </row>
    <row r="119" spans="4:4" ht="12.75" customHeight="1" x14ac:dyDescent="0.25">
      <c r="D119" s="41"/>
    </row>
    <row r="120" spans="4:4" ht="12.75" customHeight="1" x14ac:dyDescent="0.25">
      <c r="D120" s="41"/>
    </row>
    <row r="121" spans="4:4" ht="12.75" customHeight="1" x14ac:dyDescent="0.25">
      <c r="D121" s="41"/>
    </row>
    <row r="122" spans="4:4" ht="12.75" customHeight="1" x14ac:dyDescent="0.25">
      <c r="D122" s="41"/>
    </row>
    <row r="123" spans="4:4" ht="12.75" customHeight="1" x14ac:dyDescent="0.25">
      <c r="D123" s="41"/>
    </row>
    <row r="124" spans="4:4" ht="12.75" customHeight="1" x14ac:dyDescent="0.25">
      <c r="D124" s="41"/>
    </row>
    <row r="125" spans="4:4" ht="12.75" customHeight="1" x14ac:dyDescent="0.25">
      <c r="D125" s="41"/>
    </row>
    <row r="126" spans="4:4" ht="12.75" customHeight="1" x14ac:dyDescent="0.25">
      <c r="D126" s="41"/>
    </row>
    <row r="127" spans="4:4" ht="12.75" customHeight="1" x14ac:dyDescent="0.25">
      <c r="D127" s="41"/>
    </row>
    <row r="128" spans="4:4" ht="12.75" customHeight="1" x14ac:dyDescent="0.25">
      <c r="D128" s="41"/>
    </row>
    <row r="129" spans="4:4" ht="12.75" customHeight="1" x14ac:dyDescent="0.25">
      <c r="D129" s="41"/>
    </row>
    <row r="130" spans="4:4" ht="12.75" customHeight="1" x14ac:dyDescent="0.25">
      <c r="D130" s="41"/>
    </row>
    <row r="131" spans="4:4" ht="12.75" customHeight="1" x14ac:dyDescent="0.25">
      <c r="D131" s="41"/>
    </row>
    <row r="132" spans="4:4" ht="12.75" customHeight="1" x14ac:dyDescent="0.25">
      <c r="D132" s="41"/>
    </row>
    <row r="133" spans="4:4" ht="12.75" customHeight="1" x14ac:dyDescent="0.25">
      <c r="D133" s="41"/>
    </row>
    <row r="134" spans="4:4" ht="12.75" customHeight="1" x14ac:dyDescent="0.25">
      <c r="D134" s="41"/>
    </row>
    <row r="135" spans="4:4" ht="12.75" customHeight="1" x14ac:dyDescent="0.25">
      <c r="D135" s="41"/>
    </row>
    <row r="136" spans="4:4" ht="12.75" customHeight="1" x14ac:dyDescent="0.25">
      <c r="D136" s="41"/>
    </row>
    <row r="137" spans="4:4" ht="12.75" customHeight="1" x14ac:dyDescent="0.25">
      <c r="D137" s="41"/>
    </row>
    <row r="138" spans="4:4" ht="12.75" customHeight="1" x14ac:dyDescent="0.25">
      <c r="D138" s="41"/>
    </row>
    <row r="139" spans="4:4" ht="12.75" customHeight="1" x14ac:dyDescent="0.25">
      <c r="D139" s="41"/>
    </row>
    <row r="140" spans="4:4" ht="12.75" customHeight="1" x14ac:dyDescent="0.25">
      <c r="D140" s="41"/>
    </row>
    <row r="141" spans="4:4" ht="12.75" customHeight="1" x14ac:dyDescent="0.25">
      <c r="D141" s="41"/>
    </row>
    <row r="142" spans="4:4" ht="12.75" customHeight="1" x14ac:dyDescent="0.25">
      <c r="D142" s="41"/>
    </row>
    <row r="143" spans="4:4" ht="12.75" customHeight="1" x14ac:dyDescent="0.25">
      <c r="D143" s="41"/>
    </row>
    <row r="144" spans="4:4" ht="12.75" customHeight="1" x14ac:dyDescent="0.25">
      <c r="D144" s="41"/>
    </row>
    <row r="145" spans="4:4" ht="12.75" customHeight="1" x14ac:dyDescent="0.25">
      <c r="D145" s="41"/>
    </row>
    <row r="146" spans="4:4" ht="12.75" customHeight="1" x14ac:dyDescent="0.25">
      <c r="D146" s="41"/>
    </row>
    <row r="147" spans="4:4" ht="12.75" customHeight="1" x14ac:dyDescent="0.25">
      <c r="D147" s="41"/>
    </row>
    <row r="148" spans="4:4" ht="12.75" customHeight="1" x14ac:dyDescent="0.25">
      <c r="D148" s="41"/>
    </row>
    <row r="149" spans="4:4" ht="12.75" customHeight="1" x14ac:dyDescent="0.25">
      <c r="D149" s="41"/>
    </row>
    <row r="150" spans="4:4" ht="12.75" customHeight="1" x14ac:dyDescent="0.25">
      <c r="D150" s="41"/>
    </row>
    <row r="151" spans="4:4" ht="12.75" customHeight="1" x14ac:dyDescent="0.25">
      <c r="D151" s="41"/>
    </row>
    <row r="152" spans="4:4" ht="12.75" customHeight="1" x14ac:dyDescent="0.25">
      <c r="D152" s="41"/>
    </row>
    <row r="153" spans="4:4" ht="12.75" customHeight="1" x14ac:dyDescent="0.25">
      <c r="D153" s="41"/>
    </row>
    <row r="154" spans="4:4" ht="12.75" customHeight="1" x14ac:dyDescent="0.25">
      <c r="D154" s="41"/>
    </row>
    <row r="155" spans="4:4" ht="12.75" customHeight="1" x14ac:dyDescent="0.25">
      <c r="D155" s="41"/>
    </row>
    <row r="156" spans="4:4" ht="12.75" customHeight="1" x14ac:dyDescent="0.25">
      <c r="D156" s="41"/>
    </row>
    <row r="157" spans="4:4" ht="12.75" customHeight="1" x14ac:dyDescent="0.25">
      <c r="D157" s="41"/>
    </row>
    <row r="158" spans="4:4" ht="12.75" customHeight="1" x14ac:dyDescent="0.25">
      <c r="D158" s="41"/>
    </row>
    <row r="159" spans="4:4" ht="12.75" customHeight="1" x14ac:dyDescent="0.25">
      <c r="D159" s="41"/>
    </row>
    <row r="160" spans="4:4" ht="12.75" customHeight="1" x14ac:dyDescent="0.25">
      <c r="D160" s="41"/>
    </row>
    <row r="161" spans="4:4" ht="12.75" customHeight="1" x14ac:dyDescent="0.25">
      <c r="D161" s="41"/>
    </row>
    <row r="162" spans="4:4" ht="12.75" customHeight="1" x14ac:dyDescent="0.25">
      <c r="D162" s="41"/>
    </row>
    <row r="163" spans="4:4" ht="12.75" customHeight="1" x14ac:dyDescent="0.25">
      <c r="D163" s="41"/>
    </row>
    <row r="164" spans="4:4" ht="12.75" customHeight="1" x14ac:dyDescent="0.25">
      <c r="D164" s="41"/>
    </row>
    <row r="165" spans="4:4" ht="12.75" customHeight="1" x14ac:dyDescent="0.25">
      <c r="D165" s="41"/>
    </row>
    <row r="166" spans="4:4" ht="12.75" customHeight="1" x14ac:dyDescent="0.25">
      <c r="D166" s="41"/>
    </row>
    <row r="167" spans="4:4" ht="12.75" customHeight="1" x14ac:dyDescent="0.25">
      <c r="D167" s="41"/>
    </row>
    <row r="168" spans="4:4" ht="12.75" customHeight="1" x14ac:dyDescent="0.25">
      <c r="D168" s="41"/>
    </row>
    <row r="169" spans="4:4" ht="12.75" customHeight="1" x14ac:dyDescent="0.25">
      <c r="D169" s="41"/>
    </row>
    <row r="170" spans="4:4" ht="12.75" customHeight="1" x14ac:dyDescent="0.25">
      <c r="D170" s="41"/>
    </row>
    <row r="171" spans="4:4" ht="12.75" customHeight="1" x14ac:dyDescent="0.25">
      <c r="D171" s="41"/>
    </row>
    <row r="172" spans="4:4" ht="12.75" customHeight="1" x14ac:dyDescent="0.25">
      <c r="D172" s="41"/>
    </row>
    <row r="173" spans="4:4" ht="12.75" customHeight="1" x14ac:dyDescent="0.25">
      <c r="D173" s="41"/>
    </row>
    <row r="174" spans="4:4" ht="12.75" customHeight="1" x14ac:dyDescent="0.25">
      <c r="D174" s="41"/>
    </row>
    <row r="175" spans="4:4" ht="12.75" customHeight="1" x14ac:dyDescent="0.25">
      <c r="D175" s="41"/>
    </row>
    <row r="176" spans="4:4" ht="12.75" customHeight="1" x14ac:dyDescent="0.25">
      <c r="D176" s="41"/>
    </row>
    <row r="177" spans="4:4" ht="12.75" customHeight="1" x14ac:dyDescent="0.25">
      <c r="D177" s="41"/>
    </row>
    <row r="178" spans="4:4" ht="12.75" customHeight="1" x14ac:dyDescent="0.25">
      <c r="D178" s="41"/>
    </row>
    <row r="179" spans="4:4" ht="12.75" customHeight="1" x14ac:dyDescent="0.25">
      <c r="D179" s="41"/>
    </row>
    <row r="180" spans="4:4" ht="12.75" customHeight="1" x14ac:dyDescent="0.25">
      <c r="D180" s="41"/>
    </row>
    <row r="181" spans="4:4" ht="12.75" customHeight="1" x14ac:dyDescent="0.25">
      <c r="D181" s="41"/>
    </row>
    <row r="182" spans="4:4" ht="12.75" customHeight="1" x14ac:dyDescent="0.25">
      <c r="D182" s="41"/>
    </row>
    <row r="183" spans="4:4" ht="12.75" customHeight="1" x14ac:dyDescent="0.25">
      <c r="D183" s="41"/>
    </row>
    <row r="184" spans="4:4" ht="12.75" customHeight="1" x14ac:dyDescent="0.25">
      <c r="D184" s="41"/>
    </row>
    <row r="185" spans="4:4" ht="12.75" customHeight="1" x14ac:dyDescent="0.25">
      <c r="D185" s="41"/>
    </row>
    <row r="186" spans="4:4" ht="12.75" customHeight="1" x14ac:dyDescent="0.25">
      <c r="D186" s="41"/>
    </row>
    <row r="187" spans="4:4" ht="12.75" customHeight="1" x14ac:dyDescent="0.25">
      <c r="D187" s="41"/>
    </row>
    <row r="188" spans="4:4" ht="12.75" customHeight="1" x14ac:dyDescent="0.25">
      <c r="D188" s="41"/>
    </row>
    <row r="189" spans="4:4" ht="12.75" customHeight="1" x14ac:dyDescent="0.25">
      <c r="D189" s="41"/>
    </row>
    <row r="190" spans="4:4" ht="12.75" customHeight="1" x14ac:dyDescent="0.25">
      <c r="D190" s="41"/>
    </row>
    <row r="191" spans="4:4" ht="12.75" customHeight="1" x14ac:dyDescent="0.25">
      <c r="D191" s="41"/>
    </row>
    <row r="192" spans="4:4" ht="12.75" customHeight="1" x14ac:dyDescent="0.25">
      <c r="D192" s="41"/>
    </row>
    <row r="193" spans="4:4" ht="12.75" customHeight="1" x14ac:dyDescent="0.25">
      <c r="D193" s="41"/>
    </row>
    <row r="194" spans="4:4" ht="12.75" customHeight="1" x14ac:dyDescent="0.25">
      <c r="D194" s="41"/>
    </row>
    <row r="195" spans="4:4" ht="12.75" customHeight="1" x14ac:dyDescent="0.25">
      <c r="D195" s="41"/>
    </row>
    <row r="196" spans="4:4" ht="12.75" customHeight="1" x14ac:dyDescent="0.25">
      <c r="D196" s="41"/>
    </row>
    <row r="197" spans="4:4" ht="12.75" customHeight="1" x14ac:dyDescent="0.25">
      <c r="D197" s="41"/>
    </row>
    <row r="198" spans="4:4" ht="12.75" customHeight="1" x14ac:dyDescent="0.25">
      <c r="D198" s="41"/>
    </row>
    <row r="199" spans="4:4" ht="12.75" customHeight="1" x14ac:dyDescent="0.25">
      <c r="D199" s="41"/>
    </row>
    <row r="200" spans="4:4" ht="12.75" customHeight="1" x14ac:dyDescent="0.25">
      <c r="D200" s="41"/>
    </row>
    <row r="201" spans="4:4" ht="12.75" customHeight="1" x14ac:dyDescent="0.25">
      <c r="D201" s="41"/>
    </row>
    <row r="202" spans="4:4" ht="12.75" customHeight="1" x14ac:dyDescent="0.25">
      <c r="D202" s="41"/>
    </row>
    <row r="203" spans="4:4" ht="12.75" customHeight="1" x14ac:dyDescent="0.25">
      <c r="D203" s="41"/>
    </row>
    <row r="204" spans="4:4" ht="12.75" customHeight="1" x14ac:dyDescent="0.25">
      <c r="D204" s="41"/>
    </row>
    <row r="205" spans="4:4" ht="12.75" customHeight="1" x14ac:dyDescent="0.25">
      <c r="D205" s="41"/>
    </row>
    <row r="206" spans="4:4" ht="12.75" customHeight="1" x14ac:dyDescent="0.25">
      <c r="D206" s="41"/>
    </row>
    <row r="207" spans="4:4" ht="12.75" customHeight="1" x14ac:dyDescent="0.25">
      <c r="D207" s="41"/>
    </row>
    <row r="208" spans="4:4" ht="12.75" customHeight="1" x14ac:dyDescent="0.25">
      <c r="D208" s="41"/>
    </row>
    <row r="209" spans="4:4" ht="12.75" customHeight="1" x14ac:dyDescent="0.25">
      <c r="D209" s="41"/>
    </row>
    <row r="210" spans="4:4" ht="12.75" customHeight="1" x14ac:dyDescent="0.25">
      <c r="D210" s="41"/>
    </row>
    <row r="211" spans="4:4" ht="12.75" customHeight="1" x14ac:dyDescent="0.25">
      <c r="D211" s="41"/>
    </row>
    <row r="212" spans="4:4" ht="12.75" customHeight="1" x14ac:dyDescent="0.25">
      <c r="D212" s="41"/>
    </row>
    <row r="213" spans="4:4" ht="12.75" customHeight="1" x14ac:dyDescent="0.25">
      <c r="D213" s="41"/>
    </row>
    <row r="214" spans="4:4" ht="12.75" customHeight="1" x14ac:dyDescent="0.25">
      <c r="D214" s="41"/>
    </row>
    <row r="215" spans="4:4" ht="12.75" customHeight="1" x14ac:dyDescent="0.25">
      <c r="D215" s="41"/>
    </row>
    <row r="216" spans="4:4" ht="12.75" customHeight="1" x14ac:dyDescent="0.25">
      <c r="D216" s="41"/>
    </row>
    <row r="217" spans="4:4" ht="12.75" customHeight="1" x14ac:dyDescent="0.25">
      <c r="D217" s="41"/>
    </row>
    <row r="218" spans="4:4" ht="12.75" customHeight="1" x14ac:dyDescent="0.25">
      <c r="D218" s="41"/>
    </row>
    <row r="219" spans="4:4" ht="12.75" customHeight="1" x14ac:dyDescent="0.25">
      <c r="D219" s="41"/>
    </row>
    <row r="220" spans="4:4" ht="12.75" customHeight="1" x14ac:dyDescent="0.25">
      <c r="D220" s="41"/>
    </row>
    <row r="221" spans="4:4" ht="12.75" customHeight="1" x14ac:dyDescent="0.25">
      <c r="D221" s="41"/>
    </row>
    <row r="222" spans="4:4" ht="12.75" customHeight="1" x14ac:dyDescent="0.25">
      <c r="D222" s="41"/>
    </row>
    <row r="223" spans="4:4" ht="12.75" customHeight="1" x14ac:dyDescent="0.25">
      <c r="D223" s="41"/>
    </row>
    <row r="224" spans="4:4" ht="12.75" customHeight="1" x14ac:dyDescent="0.25">
      <c r="D224" s="41"/>
    </row>
    <row r="225" spans="4:4" ht="12.75" customHeight="1" x14ac:dyDescent="0.25">
      <c r="D225" s="41"/>
    </row>
    <row r="226" spans="4:4" ht="12.75" customHeight="1" x14ac:dyDescent="0.25">
      <c r="D226" s="41"/>
    </row>
    <row r="227" spans="4:4" ht="12.75" customHeight="1" x14ac:dyDescent="0.25">
      <c r="D227" s="41"/>
    </row>
    <row r="228" spans="4:4" ht="12.75" customHeight="1" x14ac:dyDescent="0.25">
      <c r="D228" s="41"/>
    </row>
    <row r="229" spans="4:4" ht="12.75" customHeight="1" x14ac:dyDescent="0.25">
      <c r="D229" s="41"/>
    </row>
    <row r="230" spans="4:4" ht="12.75" customHeight="1" x14ac:dyDescent="0.25">
      <c r="D230" s="41"/>
    </row>
    <row r="231" spans="4:4" ht="12.75" customHeight="1" x14ac:dyDescent="0.25">
      <c r="D231" s="41"/>
    </row>
    <row r="232" spans="4:4" ht="12.75" customHeight="1" x14ac:dyDescent="0.25">
      <c r="D232" s="41"/>
    </row>
    <row r="233" spans="4:4" ht="12.75" customHeight="1" x14ac:dyDescent="0.25">
      <c r="D233" s="41"/>
    </row>
    <row r="234" spans="4:4" ht="12.75" customHeight="1" x14ac:dyDescent="0.25"/>
    <row r="235" spans="4:4" ht="15.75" customHeight="1" x14ac:dyDescent="0.25"/>
    <row r="236" spans="4:4" ht="15.75" customHeight="1" x14ac:dyDescent="0.25"/>
    <row r="237" spans="4:4" ht="15.75" customHeight="1" x14ac:dyDescent="0.25"/>
    <row r="238" spans="4:4" ht="15.75" customHeight="1" x14ac:dyDescent="0.25"/>
    <row r="239" spans="4:4" ht="15.75" customHeight="1" x14ac:dyDescent="0.25"/>
    <row r="240" spans="4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2025-07-10T03:55:33Z</dcterms:created>
  <dcterms:modified xsi:type="dcterms:W3CDTF">2025-07-10T03:57:51Z</dcterms:modified>
</cp:coreProperties>
</file>