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B6760392-78FC-494A-86B4-4C0FA8AF37DC}" xr6:coauthVersionLast="47" xr6:coauthVersionMax="47" xr10:uidLastSave="{00000000-0000-0000-0000-000000000000}"/>
  <bookViews>
    <workbookView xWindow="28680" yWindow="-120" windowWidth="29040" windowHeight="15720" xr2:uid="{F105AFC2-91D3-4A29-B4EA-DDE9905BA0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3" i="1" l="1"/>
  <c r="F33" i="1"/>
  <c r="I32" i="1"/>
  <c r="F32" i="1"/>
  <c r="I31" i="1"/>
  <c r="F31" i="1"/>
  <c r="I30" i="1"/>
  <c r="F30" i="1"/>
  <c r="H29" i="1"/>
  <c r="G29" i="1"/>
  <c r="E29" i="1"/>
  <c r="D29" i="1"/>
  <c r="I28" i="1"/>
  <c r="F28" i="1"/>
  <c r="I27" i="1"/>
  <c r="F27" i="1"/>
  <c r="I26" i="1"/>
  <c r="F26" i="1"/>
  <c r="I25" i="1"/>
  <c r="F25" i="1"/>
  <c r="I24" i="1"/>
  <c r="F24" i="1"/>
  <c r="I23" i="1"/>
  <c r="F23" i="1"/>
  <c r="I22" i="1"/>
  <c r="F22" i="1"/>
  <c r="I21" i="1"/>
  <c r="F21" i="1"/>
  <c r="I20" i="1"/>
  <c r="F20" i="1"/>
  <c r="I19" i="1"/>
  <c r="F19" i="1"/>
  <c r="I18" i="1"/>
  <c r="F18" i="1"/>
  <c r="F17" i="1"/>
  <c r="I16" i="1"/>
  <c r="F16" i="1"/>
  <c r="I15" i="1"/>
  <c r="F15" i="1"/>
  <c r="I14" i="1"/>
  <c r="F14" i="1"/>
  <c r="I13" i="1"/>
  <c r="F13" i="1"/>
  <c r="I12" i="1"/>
  <c r="F12" i="1"/>
  <c r="I11" i="1"/>
  <c r="F11" i="1"/>
  <c r="I10" i="1"/>
  <c r="F10" i="1"/>
  <c r="F9" i="1"/>
  <c r="F29" i="1" l="1"/>
  <c r="I29" i="1"/>
</calcChain>
</file>

<file path=xl/sharedStrings.xml><?xml version="1.0" encoding="utf-8"?>
<sst xmlns="http://schemas.openxmlformats.org/spreadsheetml/2006/main" count="78" uniqueCount="69">
  <si>
    <t>Tahun 2020</t>
  </si>
  <si>
    <t>Tahun 2021</t>
  </si>
  <si>
    <t>Tahun 2022</t>
  </si>
  <si>
    <t>Tabel : 5.1.2</t>
  </si>
  <si>
    <t>Tahun 2023</t>
  </si>
  <si>
    <r>
      <rPr>
        <b/>
        <sz val="11"/>
        <color theme="1"/>
        <rFont val="Calibri"/>
      </rPr>
      <t>Lanjutan</t>
    </r>
    <r>
      <rPr>
        <sz val="11"/>
        <color theme="1"/>
        <rFont val="Calibri"/>
      </rPr>
      <t>/</t>
    </r>
    <r>
      <rPr>
        <i/>
        <sz val="11"/>
        <color theme="1"/>
        <rFont val="Calibri"/>
      </rPr>
      <t>Continued</t>
    </r>
  </si>
  <si>
    <t>Tahun 2024</t>
  </si>
  <si>
    <t>Table</t>
  </si>
  <si>
    <t>Kecamatan</t>
  </si>
  <si>
    <r>
      <rPr>
        <sz val="9"/>
        <color theme="1"/>
        <rFont val="Calibri"/>
      </rPr>
      <t xml:space="preserve">Jagung                                                        </t>
    </r>
    <r>
      <rPr>
        <i/>
        <sz val="9"/>
        <color theme="1"/>
        <rFont val="Calibri"/>
      </rPr>
      <t>Maize</t>
    </r>
  </si>
  <si>
    <r>
      <rPr>
        <sz val="9"/>
        <color theme="1"/>
        <rFont val="Calibri"/>
      </rPr>
      <t xml:space="preserve">Ubi Kayu                                                           </t>
    </r>
    <r>
      <rPr>
        <i/>
        <sz val="9"/>
        <color theme="1"/>
        <rFont val="Calibri"/>
      </rPr>
      <t>Cassava</t>
    </r>
  </si>
  <si>
    <t>Luas Panen</t>
  </si>
  <si>
    <t>Produksi</t>
  </si>
  <si>
    <t>Rata-rata Produksi</t>
  </si>
  <si>
    <t>Harvested Area</t>
  </si>
  <si>
    <t>Production</t>
  </si>
  <si>
    <t>Yield Rate</t>
  </si>
  <si>
    <t>(Ha)</t>
  </si>
  <si>
    <t>(Ton)</t>
  </si>
  <si>
    <t>(Ku/Ha)</t>
  </si>
  <si>
    <t>(1)</t>
  </si>
  <si>
    <t>(11)</t>
  </si>
  <si>
    <t>(12)</t>
  </si>
  <si>
    <t>(13)</t>
  </si>
  <si>
    <t>(14)</t>
  </si>
  <si>
    <t>(15)</t>
  </si>
  <si>
    <t>(16)</t>
  </si>
  <si>
    <t>01.</t>
  </si>
  <si>
    <t>Susukan</t>
  </si>
  <si>
    <t>02.</t>
  </si>
  <si>
    <t>Purwareja Klampok</t>
  </si>
  <si>
    <t>03.</t>
  </si>
  <si>
    <t>Mandiraja</t>
  </si>
  <si>
    <t>04.</t>
  </si>
  <si>
    <t>Purwanegara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</si>
  <si>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</si>
  <si>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</si>
  <si>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</si>
  <si>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</si>
  <si>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</si>
  <si>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</si>
  <si>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</si>
  <si>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</si>
  <si>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</si>
  <si>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</si>
  <si>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</si>
  <si>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</si>
  <si>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</si>
  <si>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</si>
  <si>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</si>
  <si>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</si>
  <si>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</si>
  <si>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</si>
  <si>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</si>
  <si>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</si>
  <si>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</si>
  <si>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</si>
  <si>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</si>
  <si>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</si>
  <si>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</si>
  <si>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</si>
  <si>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</si>
  <si>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</si>
  <si>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</si>
  <si>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</si>
  <si>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</si>
  <si>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</si>
  <si>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</si>
  <si>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 xml:space="preserve">Sumber Data  :  Dinas Pertanian dan Perikanan Kab. Banjarnegara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</si>
</sst>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65" formatCode="_(* #,##0.00_);_(* \(#,##0.00\);_(* \-??_);_(@_)"/>
    <numFmt numFmtId="166" formatCode="_(* #,##0_);_(* \(#,##0\);_(* \-??_);_(@_)"/>
    <numFmt numFmtId="167" formatCode="_(* #,##0.00_);_(* \(#,##0.00\);_(* \-_);_(@_)"/>
    <numFmt numFmtId="168" formatCode="_-* #,##0.00_-;\-* #,##0.00_-;_-* &quot;-&quot;_-;_-@"/>
  </numFmts>
  <fonts count="13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sz val="11"/>
      <color theme="1"/>
      <name val="Calibri"/>
      <family val="2"/>
    </font>
    <font>
      <sz val="10"/>
      <color rgb="FF000000"/>
      <name val="Arial"/>
      <family val="2"/>
    </font>
    <font>
      <b/>
      <u/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i/>
      <sz val="11"/>
      <color theme="1"/>
      <name val="Calibri"/>
    </font>
    <font>
      <b/>
      <sz val="10"/>
      <color rgb="FF000000"/>
      <name val="Arial"/>
      <family val="2"/>
    </font>
    <font>
      <sz val="9"/>
      <color theme="1"/>
      <name val="Calibri"/>
    </font>
    <font>
      <sz val="10"/>
      <name val="Arial"/>
    </font>
    <font>
      <i/>
      <sz val="9"/>
      <color theme="1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</fills>
  <borders count="9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rgb="FF000000"/>
      </bottom>
      <diagonal/>
    </border>
  </borders>
  <cellStyleXfs count="3">
    <xf numFmtId="0" fontId="0" fillId="0" borderId="0"/>
    <xf numFmtId="0" fontId="1" fillId="0" borderId="0"/>
    <xf numFmtId="41" fontId="3" fillId="0" borderId="0" applyFont="0" applyFill="0" applyBorder="0" applyAlignment="0" applyProtection="0"/>
  </cellStyleXfs>
  <cellXfs count="44">
    <xf numFmtId="0" fontId="0" fillId="0" borderId="0" xfId="0"/>
    <xf numFmtId="0" fontId="1" fillId="0" borderId="0" xfId="1"/>
    <xf numFmtId="0" fontId="1" fillId="0" borderId="0" xfId="1"/>
    <xf numFmtId="0" fontId="4" fillId="0" borderId="0" xfId="1" applyFont="1" applyAlignment="1">
      <alignment horizontal="left" shrinkToFit="1"/>
    </xf>
    <xf numFmtId="0" fontId="5" fillId="0" borderId="0" xfId="1" applyFont="1"/>
    <xf numFmtId="0" fontId="5" fillId="0" borderId="0" xfId="1" applyFont="1" applyAlignment="1">
      <alignment horizontal="center"/>
    </xf>
    <xf numFmtId="0" fontId="8" fillId="0" borderId="0" xfId="1" applyFont="1"/>
    <xf numFmtId="0" fontId="7" fillId="0" borderId="0" xfId="1" applyFont="1" applyAlignment="1">
      <alignment vertical="top"/>
    </xf>
    <xf numFmtId="0" fontId="9" fillId="0" borderId="1" xfId="1" applyFont="1" applyBorder="1" applyAlignment="1">
      <alignment horizontal="center" vertical="center"/>
    </xf>
    <xf numFmtId="0" fontId="10" fillId="0" borderId="1" xfId="1" applyFont="1" applyBorder="1"/>
    <xf numFmtId="0" fontId="9" fillId="0" borderId="2" xfId="1" applyFont="1" applyBorder="1" applyAlignment="1">
      <alignment horizontal="center" vertical="center" wrapText="1"/>
    </xf>
    <xf numFmtId="0" fontId="10" fillId="0" borderId="2" xfId="1" applyFont="1" applyBorder="1"/>
    <xf numFmtId="0" fontId="9" fillId="0" borderId="0" xfId="1" applyFont="1" applyAlignment="1">
      <alignment horizontal="center" wrapText="1"/>
    </xf>
    <xf numFmtId="0" fontId="9" fillId="0" borderId="3" xfId="1" applyFont="1" applyBorder="1" applyAlignment="1">
      <alignment horizontal="center" wrapText="1"/>
    </xf>
    <xf numFmtId="0" fontId="11" fillId="0" borderId="0" xfId="1" applyFont="1" applyAlignment="1">
      <alignment horizontal="center" vertical="top" wrapText="1"/>
    </xf>
    <xf numFmtId="0" fontId="10" fillId="0" borderId="4" xfId="1" applyFont="1" applyBorder="1"/>
    <xf numFmtId="0" fontId="9" fillId="0" borderId="0" xfId="1" applyFont="1" applyAlignment="1">
      <alignment horizontal="center" vertical="center" wrapText="1"/>
    </xf>
    <xf numFmtId="0" fontId="9" fillId="0" borderId="5" xfId="1" applyFont="1" applyBorder="1" applyAlignment="1">
      <alignment horizontal="center" vertical="center"/>
    </xf>
    <xf numFmtId="0" fontId="10" fillId="0" borderId="5" xfId="1" applyFont="1" applyBorder="1"/>
    <xf numFmtId="0" fontId="9" fillId="0" borderId="5" xfId="1" applyFont="1" applyBorder="1" applyAlignment="1">
      <alignment horizontal="center" vertical="center"/>
    </xf>
    <xf numFmtId="0" fontId="6" fillId="0" borderId="0" xfId="1" applyFont="1"/>
    <xf numFmtId="0" fontId="6" fillId="0" borderId="3" xfId="1" applyFont="1" applyBorder="1"/>
    <xf numFmtId="0" fontId="6" fillId="0" borderId="0" xfId="1" applyFont="1" applyAlignment="1">
      <alignment horizontal="center" vertical="center"/>
    </xf>
    <xf numFmtId="0" fontId="6" fillId="0" borderId="0" xfId="1" applyFont="1" applyAlignment="1">
      <alignment horizontal="left" vertical="center"/>
    </xf>
    <xf numFmtId="165" fontId="12" fillId="0" borderId="0" xfId="1" applyNumberFormat="1" applyFont="1" applyAlignment="1">
      <alignment horizontal="right"/>
    </xf>
    <xf numFmtId="167" fontId="12" fillId="0" borderId="0" xfId="1" applyNumberFormat="1" applyFont="1" applyAlignment="1">
      <alignment horizontal="right"/>
    </xf>
    <xf numFmtId="165" fontId="12" fillId="0" borderId="0" xfId="1" applyNumberFormat="1" applyFont="1" applyAlignment="1">
      <alignment horizontal="center"/>
    </xf>
    <xf numFmtId="2" fontId="12" fillId="0" borderId="0" xfId="1" applyNumberFormat="1" applyFont="1" applyAlignment="1">
      <alignment horizontal="right"/>
    </xf>
    <xf numFmtId="166" fontId="5" fillId="2" borderId="3" xfId="1" applyNumberFormat="1" applyFont="1" applyFill="1" applyBorder="1" applyAlignment="1">
      <alignment horizontal="center" vertical="center"/>
    </xf>
    <xf numFmtId="0" fontId="10" fillId="0" borderId="3" xfId="1" applyFont="1" applyBorder="1"/>
    <xf numFmtId="165" fontId="5" fillId="2" borderId="3" xfId="1" applyNumberFormat="1" applyFont="1" applyFill="1" applyBorder="1" applyAlignment="1">
      <alignment horizontal="left" vertical="center"/>
    </xf>
    <xf numFmtId="165" fontId="5" fillId="2" borderId="6" xfId="1" applyNumberFormat="1" applyFont="1" applyFill="1" applyBorder="1" applyAlignment="1">
      <alignment horizontal="left" vertical="center"/>
    </xf>
    <xf numFmtId="168" fontId="6" fillId="0" borderId="1" xfId="1" applyNumberFormat="1" applyFont="1" applyBorder="1" applyAlignment="1">
      <alignment horizontal="center" vertical="center"/>
    </xf>
    <xf numFmtId="165" fontId="6" fillId="0" borderId="1" xfId="1" applyNumberFormat="1" applyFont="1" applyBorder="1" applyAlignment="1">
      <alignment horizontal="left" vertical="center"/>
    </xf>
    <xf numFmtId="165" fontId="5" fillId="0" borderId="0" xfId="1" applyNumberFormat="1" applyFont="1" applyAlignment="1">
      <alignment horizontal="left" vertical="center"/>
    </xf>
    <xf numFmtId="165" fontId="5" fillId="0" borderId="7" xfId="1" applyNumberFormat="1" applyFont="1" applyBorder="1" applyAlignment="1">
      <alignment horizontal="left" vertical="center"/>
    </xf>
    <xf numFmtId="168" fontId="6" fillId="0" borderId="0" xfId="1" applyNumberFormat="1" applyFont="1" applyAlignment="1">
      <alignment horizontal="center" vertical="center"/>
    </xf>
    <xf numFmtId="0" fontId="10" fillId="0" borderId="0" xfId="1" applyFont="1"/>
    <xf numFmtId="165" fontId="6" fillId="0" borderId="0" xfId="1" applyNumberFormat="1" applyFont="1" applyAlignment="1">
      <alignment horizontal="left" vertical="center"/>
    </xf>
    <xf numFmtId="168" fontId="6" fillId="0" borderId="0" xfId="1" applyNumberFormat="1" applyFont="1" applyAlignment="1">
      <alignment horizontal="left" vertical="center"/>
    </xf>
    <xf numFmtId="168" fontId="6" fillId="0" borderId="8" xfId="1" applyNumberFormat="1" applyFont="1" applyBorder="1" applyAlignment="1">
      <alignment horizontal="center" vertical="center"/>
    </xf>
    <xf numFmtId="168" fontId="6" fillId="3" borderId="0" xfId="1" applyNumberFormat="1" applyFont="1" applyFill="1" applyAlignment="1">
      <alignment horizontal="left" vertical="center"/>
    </xf>
    <xf numFmtId="0" fontId="2" fillId="0" borderId="1" xfId="1" applyFont="1" applyBorder="1"/>
    <xf numFmtId="0" fontId="6" fillId="0" borderId="1" xfId="1" applyFont="1" applyBorder="1"/>
  </cellXfs>
  <cellStyles count="3">
    <cellStyle name="Comma [0] 3" xfId="2" xr:uid="{82DCA45C-1F6D-41F9-BBBA-0525384D8454}"/>
    <cellStyle name="Normal" xfId="0" builtinId="0"/>
    <cellStyle name="Normal 4" xfId="1" xr:uid="{634A420A-5EE9-4C3F-BC33-4F02E23F45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BE218-C6FC-44C7-B225-7ED02D1FBEE1}">
  <dimension ref="A1:I996"/>
  <sheetViews>
    <sheetView tabSelected="1" workbookViewId="0">
      <selection activeCell="K11" sqref="K11"/>
    </sheetView>
  </sheetViews>
  <sheetFormatPr defaultColWidth="14.44140625" defaultRowHeight="13.2" x14ac:dyDescent="0.25"/>
  <cols>
    <col min="1" max="2" width="14.44140625" style="2"/>
    <col min="3" max="3" width="5.77734375" style="2" customWidth="1"/>
    <col min="4" max="4" width="9.77734375" style="2" customWidth="1"/>
    <col min="5" max="5" width="11.44140625" style="2" customWidth="1"/>
    <col min="6" max="6" width="9.77734375" style="2" customWidth="1"/>
    <col min="7" max="7" width="10.21875" style="2" customWidth="1"/>
    <col min="8" max="8" width="12" style="2" customWidth="1"/>
    <col min="9" max="9" width="9.21875" style="2" customWidth="1"/>
    <col min="10" max="16384" width="14.44140625" style="2"/>
  </cols>
  <sheetData>
    <row r="1" spans="1:9" ht="12.75" customHeight="1" x14ac:dyDescent="0.3">
      <c r="A1" s="3" t="s">
        <v>3</v>
      </c>
      <c r="B1" s="1"/>
      <c r="C1" s="4" t="s">
        <v>5</v>
      </c>
      <c r="D1" s="5"/>
      <c r="E1" s="5"/>
      <c r="F1" s="5"/>
      <c r="G1" s="5"/>
      <c r="H1" s="5"/>
      <c r="I1" s="6" t="s">
        <v>6</v>
      </c>
    </row>
    <row r="2" spans="1:9" ht="15" thickBot="1" x14ac:dyDescent="0.35">
      <c r="A2" s="7" t="s">
        <v>7</v>
      </c>
      <c r="B2" s="5"/>
      <c r="C2" s="5"/>
      <c r="D2" s="4"/>
      <c r="E2" s="4"/>
      <c r="F2" s="4"/>
      <c r="G2" s="4"/>
      <c r="H2" s="4"/>
      <c r="I2" s="4"/>
    </row>
    <row r="3" spans="1:9" ht="24" customHeight="1" thickTop="1" x14ac:dyDescent="0.25">
      <c r="A3" s="8" t="s">
        <v>8</v>
      </c>
      <c r="B3" s="9"/>
      <c r="C3" s="9"/>
      <c r="D3" s="10" t="s">
        <v>9</v>
      </c>
      <c r="E3" s="11"/>
      <c r="F3" s="11"/>
      <c r="G3" s="10" t="s">
        <v>10</v>
      </c>
      <c r="H3" s="11"/>
      <c r="I3" s="11"/>
    </row>
    <row r="4" spans="1:9" ht="12.75" customHeight="1" x14ac:dyDescent="0.25">
      <c r="A4" s="1"/>
      <c r="B4" s="1"/>
      <c r="C4" s="1"/>
      <c r="D4" s="12" t="s">
        <v>11</v>
      </c>
      <c r="E4" s="13" t="s">
        <v>12</v>
      </c>
      <c r="F4" s="12" t="s">
        <v>13</v>
      </c>
      <c r="G4" s="12" t="s">
        <v>11</v>
      </c>
      <c r="H4" s="13" t="s">
        <v>12</v>
      </c>
      <c r="I4" s="12" t="s">
        <v>13</v>
      </c>
    </row>
    <row r="5" spans="1:9" ht="24" x14ac:dyDescent="0.25">
      <c r="A5" s="1"/>
      <c r="B5" s="1"/>
      <c r="C5" s="1"/>
      <c r="D5" s="14" t="s">
        <v>14</v>
      </c>
      <c r="E5" s="14" t="s">
        <v>15</v>
      </c>
      <c r="F5" s="14" t="s">
        <v>16</v>
      </c>
      <c r="G5" s="14" t="s">
        <v>14</v>
      </c>
      <c r="H5" s="14" t="s">
        <v>15</v>
      </c>
      <c r="I5" s="14" t="s">
        <v>16</v>
      </c>
    </row>
    <row r="6" spans="1:9" x14ac:dyDescent="0.25">
      <c r="A6" s="15"/>
      <c r="B6" s="15"/>
      <c r="C6" s="15"/>
      <c r="D6" s="16" t="s">
        <v>17</v>
      </c>
      <c r="E6" s="16" t="s">
        <v>18</v>
      </c>
      <c r="F6" s="16" t="s">
        <v>19</v>
      </c>
      <c r="G6" s="16" t="s">
        <v>17</v>
      </c>
      <c r="H6" s="16" t="s">
        <v>18</v>
      </c>
      <c r="I6" s="16" t="s">
        <v>19</v>
      </c>
    </row>
    <row r="7" spans="1:9" x14ac:dyDescent="0.25">
      <c r="A7" s="17" t="s">
        <v>20</v>
      </c>
      <c r="B7" s="18"/>
      <c r="C7" s="18"/>
      <c r="D7" s="19" t="s">
        <v>21</v>
      </c>
      <c r="E7" s="19" t="s">
        <v>22</v>
      </c>
      <c r="F7" s="19" t="s">
        <v>23</v>
      </c>
      <c r="G7" s="19" t="s">
        <v>24</v>
      </c>
      <c r="H7" s="19" t="s">
        <v>25</v>
      </c>
      <c r="I7" s="19" t="s">
        <v>26</v>
      </c>
    </row>
    <row r="8" spans="1:9" ht="7.5" hidden="1" customHeight="1" x14ac:dyDescent="0.3">
      <c r="A8" s="20"/>
      <c r="B8" s="20"/>
      <c r="C8" s="21"/>
      <c r="D8" s="21"/>
      <c r="E8" s="21"/>
      <c r="F8" s="20"/>
      <c r="G8" s="20"/>
      <c r="H8" s="20"/>
      <c r="I8" s="20"/>
    </row>
    <row r="9" spans="1:9" ht="14.4" x14ac:dyDescent="0.3">
      <c r="A9" s="22" t="s">
        <v>27</v>
      </c>
      <c r="B9" s="23" t="s">
        <v>28</v>
      </c>
      <c r="C9" s="23"/>
      <c r="D9" s="24">
        <v>312</v>
      </c>
      <c r="E9" s="24">
        <v>2074.9499999999998</v>
      </c>
      <c r="F9" s="25">
        <f t="shared" ref="F9:F28" si="0">(E9/D9)*10</f>
        <v>66.504807692307693</v>
      </c>
      <c r="G9" s="26">
        <v>0</v>
      </c>
      <c r="H9" s="26">
        <v>0</v>
      </c>
      <c r="I9" s="26">
        <v>0</v>
      </c>
    </row>
    <row r="10" spans="1:9" ht="14.4" x14ac:dyDescent="0.3">
      <c r="A10" s="22" t="s">
        <v>29</v>
      </c>
      <c r="B10" s="23" t="s">
        <v>30</v>
      </c>
      <c r="C10" s="23"/>
      <c r="D10" s="24">
        <v>159</v>
      </c>
      <c r="E10" s="24">
        <v>1045.21</v>
      </c>
      <c r="F10" s="25">
        <f t="shared" si="0"/>
        <v>65.736477987421381</v>
      </c>
      <c r="G10" s="26">
        <v>12</v>
      </c>
      <c r="H10" s="26">
        <v>321.45</v>
      </c>
      <c r="I10" s="26">
        <f t="shared" ref="I10:I16" si="1">(H10/G10)*10</f>
        <v>267.875</v>
      </c>
    </row>
    <row r="11" spans="1:9" ht="14.4" x14ac:dyDescent="0.3">
      <c r="A11" s="22" t="s">
        <v>31</v>
      </c>
      <c r="B11" s="23" t="s">
        <v>32</v>
      </c>
      <c r="C11" s="23"/>
      <c r="D11" s="24">
        <v>281</v>
      </c>
      <c r="E11" s="24">
        <v>2143.15</v>
      </c>
      <c r="F11" s="25">
        <f t="shared" si="0"/>
        <v>76.268683274021356</v>
      </c>
      <c r="G11" s="26">
        <v>200</v>
      </c>
      <c r="H11" s="26">
        <v>7189.85</v>
      </c>
      <c r="I11" s="26">
        <f t="shared" si="1"/>
        <v>359.49250000000001</v>
      </c>
    </row>
    <row r="12" spans="1:9" ht="14.4" x14ac:dyDescent="0.3">
      <c r="A12" s="22" t="s">
        <v>33</v>
      </c>
      <c r="B12" s="23" t="s">
        <v>34</v>
      </c>
      <c r="C12" s="23"/>
      <c r="D12" s="24">
        <v>2710</v>
      </c>
      <c r="E12" s="24">
        <v>20992.55</v>
      </c>
      <c r="F12" s="25">
        <f t="shared" si="0"/>
        <v>77.463284132841324</v>
      </c>
      <c r="G12" s="26">
        <v>1065</v>
      </c>
      <c r="H12" s="26">
        <v>39228.85</v>
      </c>
      <c r="I12" s="26">
        <f t="shared" si="1"/>
        <v>368.34600938967134</v>
      </c>
    </row>
    <row r="13" spans="1:9" ht="14.4" x14ac:dyDescent="0.3">
      <c r="A13" s="22" t="s">
        <v>35</v>
      </c>
      <c r="B13" s="23" t="s">
        <v>36</v>
      </c>
      <c r="C13" s="23"/>
      <c r="D13" s="24">
        <v>1608</v>
      </c>
      <c r="E13" s="24">
        <v>10685.95</v>
      </c>
      <c r="F13" s="25">
        <f t="shared" si="0"/>
        <v>66.454912935323392</v>
      </c>
      <c r="G13" s="26">
        <v>509</v>
      </c>
      <c r="H13" s="26">
        <v>14015.32</v>
      </c>
      <c r="I13" s="26">
        <f t="shared" si="1"/>
        <v>275.35009823182713</v>
      </c>
    </row>
    <row r="14" spans="1:9" ht="14.4" x14ac:dyDescent="0.3">
      <c r="A14" s="22" t="s">
        <v>37</v>
      </c>
      <c r="B14" s="23" t="s">
        <v>38</v>
      </c>
      <c r="C14" s="23"/>
      <c r="D14" s="24">
        <v>89</v>
      </c>
      <c r="E14" s="24">
        <v>660.57</v>
      </c>
      <c r="F14" s="25">
        <f t="shared" si="0"/>
        <v>74.221348314606743</v>
      </c>
      <c r="G14" s="26">
        <v>21</v>
      </c>
      <c r="H14" s="26">
        <v>495.22</v>
      </c>
      <c r="I14" s="26">
        <f t="shared" si="1"/>
        <v>235.81904761904764</v>
      </c>
    </row>
    <row r="15" spans="1:9" ht="14.4" x14ac:dyDescent="0.3">
      <c r="A15" s="22" t="s">
        <v>39</v>
      </c>
      <c r="B15" s="23" t="s">
        <v>40</v>
      </c>
      <c r="C15" s="23"/>
      <c r="D15" s="24">
        <v>237</v>
      </c>
      <c r="E15" s="24">
        <v>1475.23</v>
      </c>
      <c r="F15" s="25">
        <f t="shared" si="0"/>
        <v>62.245991561181441</v>
      </c>
      <c r="G15" s="26">
        <v>94</v>
      </c>
      <c r="H15" s="26">
        <v>1900.25</v>
      </c>
      <c r="I15" s="26">
        <f t="shared" si="1"/>
        <v>202.15425531914892</v>
      </c>
    </row>
    <row r="16" spans="1:9" ht="14.4" x14ac:dyDescent="0.3">
      <c r="A16" s="22" t="s">
        <v>41</v>
      </c>
      <c r="B16" s="23" t="s">
        <v>42</v>
      </c>
      <c r="C16" s="23"/>
      <c r="D16" s="24">
        <v>111</v>
      </c>
      <c r="E16" s="24">
        <v>735.95</v>
      </c>
      <c r="F16" s="25">
        <f t="shared" si="0"/>
        <v>66.301801801801801</v>
      </c>
      <c r="G16" s="26">
        <v>7</v>
      </c>
      <c r="H16" s="26">
        <v>154</v>
      </c>
      <c r="I16" s="26">
        <f t="shared" si="1"/>
        <v>220</v>
      </c>
    </row>
    <row r="17" spans="1:9" ht="14.4" x14ac:dyDescent="0.3">
      <c r="A17" s="22" t="s">
        <v>43</v>
      </c>
      <c r="B17" s="23" t="s">
        <v>44</v>
      </c>
      <c r="C17" s="23"/>
      <c r="D17" s="24">
        <v>166</v>
      </c>
      <c r="E17" s="24">
        <v>969.11</v>
      </c>
      <c r="F17" s="25">
        <f t="shared" si="0"/>
        <v>58.380120481927719</v>
      </c>
      <c r="G17" s="26">
        <v>0</v>
      </c>
      <c r="H17" s="26">
        <v>0</v>
      </c>
      <c r="I17" s="26">
        <v>0</v>
      </c>
    </row>
    <row r="18" spans="1:9" ht="14.4" x14ac:dyDescent="0.3">
      <c r="A18" s="22" t="s">
        <v>45</v>
      </c>
      <c r="B18" s="23" t="s">
        <v>46</v>
      </c>
      <c r="C18" s="23"/>
      <c r="D18" s="24">
        <v>34</v>
      </c>
      <c r="E18" s="24">
        <v>191.23</v>
      </c>
      <c r="F18" s="25">
        <f t="shared" si="0"/>
        <v>56.244117647058822</v>
      </c>
      <c r="G18" s="26">
        <v>3</v>
      </c>
      <c r="H18" s="26">
        <v>63.55</v>
      </c>
      <c r="I18" s="26">
        <f t="shared" ref="I18:I28" si="2">(H18/G18)*10</f>
        <v>211.83333333333334</v>
      </c>
    </row>
    <row r="19" spans="1:9" ht="14.4" x14ac:dyDescent="0.3">
      <c r="A19" s="22" t="s">
        <v>47</v>
      </c>
      <c r="B19" s="23" t="s">
        <v>48</v>
      </c>
      <c r="C19" s="23"/>
      <c r="D19" s="24">
        <v>252</v>
      </c>
      <c r="E19" s="24">
        <v>1875.23</v>
      </c>
      <c r="F19" s="25">
        <f t="shared" si="0"/>
        <v>74.413888888888891</v>
      </c>
      <c r="G19" s="26">
        <v>26</v>
      </c>
      <c r="H19" s="26">
        <v>641.32000000000005</v>
      </c>
      <c r="I19" s="26">
        <f t="shared" si="2"/>
        <v>246.66153846153847</v>
      </c>
    </row>
    <row r="20" spans="1:9" ht="14.4" x14ac:dyDescent="0.3">
      <c r="A20" s="22" t="s">
        <v>49</v>
      </c>
      <c r="B20" s="23" t="s">
        <v>50</v>
      </c>
      <c r="C20" s="23"/>
      <c r="D20" s="24">
        <v>93</v>
      </c>
      <c r="E20" s="24">
        <v>655</v>
      </c>
      <c r="F20" s="25">
        <f t="shared" si="0"/>
        <v>70.430107526881727</v>
      </c>
      <c r="G20" s="26">
        <v>184</v>
      </c>
      <c r="H20" s="26">
        <v>4755.91</v>
      </c>
      <c r="I20" s="26">
        <f t="shared" si="2"/>
        <v>258.47336956521735</v>
      </c>
    </row>
    <row r="21" spans="1:9" ht="14.4" x14ac:dyDescent="0.3">
      <c r="A21" s="22" t="s">
        <v>51</v>
      </c>
      <c r="B21" s="23" t="s">
        <v>52</v>
      </c>
      <c r="C21" s="23"/>
      <c r="D21" s="24">
        <v>226</v>
      </c>
      <c r="E21" s="24">
        <v>1537.82</v>
      </c>
      <c r="F21" s="25">
        <f t="shared" si="0"/>
        <v>68.045132743362828</v>
      </c>
      <c r="G21" s="26">
        <v>262</v>
      </c>
      <c r="H21" s="26">
        <v>5602.11</v>
      </c>
      <c r="I21" s="26">
        <f t="shared" si="2"/>
        <v>213.82099236641221</v>
      </c>
    </row>
    <row r="22" spans="1:9" ht="14.4" x14ac:dyDescent="0.3">
      <c r="A22" s="22" t="s">
        <v>53</v>
      </c>
      <c r="B22" s="23" t="s">
        <v>54</v>
      </c>
      <c r="C22" s="23"/>
      <c r="D22" s="24">
        <v>103</v>
      </c>
      <c r="E22" s="24">
        <v>483.33</v>
      </c>
      <c r="F22" s="25">
        <f t="shared" si="0"/>
        <v>46.925242718446604</v>
      </c>
      <c r="G22" s="26">
        <v>33.99</v>
      </c>
      <c r="H22" s="26">
        <v>612.54999999999995</v>
      </c>
      <c r="I22" s="26">
        <f t="shared" si="2"/>
        <v>180.21476904972047</v>
      </c>
    </row>
    <row r="23" spans="1:9" ht="14.4" x14ac:dyDescent="0.3">
      <c r="A23" s="22" t="s">
        <v>55</v>
      </c>
      <c r="B23" s="23" t="s">
        <v>56</v>
      </c>
      <c r="C23" s="23"/>
      <c r="D23" s="24">
        <v>94</v>
      </c>
      <c r="E23" s="24">
        <v>417.55</v>
      </c>
      <c r="F23" s="25">
        <f t="shared" si="0"/>
        <v>44.420212765957451</v>
      </c>
      <c r="G23" s="26">
        <v>33</v>
      </c>
      <c r="H23" s="26">
        <v>408.85</v>
      </c>
      <c r="I23" s="26">
        <f t="shared" si="2"/>
        <v>123.89393939393941</v>
      </c>
    </row>
    <row r="24" spans="1:9" ht="14.4" x14ac:dyDescent="0.3">
      <c r="A24" s="22" t="s">
        <v>57</v>
      </c>
      <c r="B24" s="23" t="s">
        <v>58</v>
      </c>
      <c r="C24" s="23"/>
      <c r="D24" s="24">
        <v>241</v>
      </c>
      <c r="E24" s="24">
        <v>1277.21</v>
      </c>
      <c r="F24" s="25">
        <f t="shared" si="0"/>
        <v>52.99626556016598</v>
      </c>
      <c r="G24" s="26">
        <v>44</v>
      </c>
      <c r="H24" s="26">
        <v>549.75</v>
      </c>
      <c r="I24" s="26">
        <f t="shared" si="2"/>
        <v>124.94318181818181</v>
      </c>
    </row>
    <row r="25" spans="1:9" ht="14.4" x14ac:dyDescent="0.3">
      <c r="A25" s="22" t="s">
        <v>59</v>
      </c>
      <c r="B25" s="23" t="s">
        <v>60</v>
      </c>
      <c r="C25" s="23"/>
      <c r="D25" s="24">
        <v>48</v>
      </c>
      <c r="E25" s="24">
        <v>192.72</v>
      </c>
      <c r="F25" s="25">
        <f t="shared" si="0"/>
        <v>40.15</v>
      </c>
      <c r="G25" s="26">
        <v>5</v>
      </c>
      <c r="H25" s="26">
        <v>55.13</v>
      </c>
      <c r="I25" s="26">
        <f t="shared" si="2"/>
        <v>110.25999999999999</v>
      </c>
    </row>
    <row r="26" spans="1:9" ht="14.4" x14ac:dyDescent="0.3">
      <c r="A26" s="22" t="s">
        <v>61</v>
      </c>
      <c r="B26" s="23" t="s">
        <v>62</v>
      </c>
      <c r="C26" s="23"/>
      <c r="D26" s="27">
        <v>57</v>
      </c>
      <c r="E26" s="24">
        <v>237.43</v>
      </c>
      <c r="F26" s="25">
        <f t="shared" si="0"/>
        <v>41.654385964912279</v>
      </c>
      <c r="G26" s="26">
        <v>10</v>
      </c>
      <c r="H26" s="26">
        <v>201.02</v>
      </c>
      <c r="I26" s="26">
        <f t="shared" si="2"/>
        <v>201.02</v>
      </c>
    </row>
    <row r="27" spans="1:9" ht="14.4" x14ac:dyDescent="0.3">
      <c r="A27" s="22" t="s">
        <v>63</v>
      </c>
      <c r="B27" s="23" t="s">
        <v>64</v>
      </c>
      <c r="C27" s="23"/>
      <c r="D27" s="24">
        <v>437</v>
      </c>
      <c r="E27" s="24">
        <v>1896.95</v>
      </c>
      <c r="F27" s="25">
        <f t="shared" si="0"/>
        <v>43.408466819221971</v>
      </c>
      <c r="G27" s="26">
        <v>89</v>
      </c>
      <c r="H27" s="26">
        <v>2146.15</v>
      </c>
      <c r="I27" s="26">
        <f t="shared" si="2"/>
        <v>241.14044943820227</v>
      </c>
    </row>
    <row r="28" spans="1:9" ht="14.4" x14ac:dyDescent="0.3">
      <c r="A28" s="22" t="s">
        <v>65</v>
      </c>
      <c r="B28" s="23" t="s">
        <v>66</v>
      </c>
      <c r="C28" s="23"/>
      <c r="D28" s="24">
        <v>374</v>
      </c>
      <c r="E28" s="24">
        <v>1599.46</v>
      </c>
      <c r="F28" s="25">
        <f t="shared" si="0"/>
        <v>42.766310160427807</v>
      </c>
      <c r="G28" s="26">
        <v>39</v>
      </c>
      <c r="H28" s="26">
        <v>545.48</v>
      </c>
      <c r="I28" s="26">
        <f t="shared" si="2"/>
        <v>139.86666666666667</v>
      </c>
    </row>
    <row r="29" spans="1:9" ht="15" thickBot="1" x14ac:dyDescent="0.3">
      <c r="A29" s="28" t="s">
        <v>67</v>
      </c>
      <c r="B29" s="29"/>
      <c r="C29" s="29"/>
      <c r="D29" s="30">
        <f>SUM(D9:D28)</f>
        <v>7632</v>
      </c>
      <c r="E29" s="30">
        <f>SUM(E9:E28)</f>
        <v>51146.600000000006</v>
      </c>
      <c r="F29" s="31">
        <f>SUM(E29/D29)*10</f>
        <v>67.015985324947593</v>
      </c>
      <c r="G29" s="30">
        <f>SUM(G9:G28)</f>
        <v>2636.99</v>
      </c>
      <c r="H29" s="30">
        <f>SUM(H9:H28)</f>
        <v>78886.760000000009</v>
      </c>
      <c r="I29" s="30">
        <f>SUM(H29/G29)*10</f>
        <v>299.15456638060823</v>
      </c>
    </row>
    <row r="30" spans="1:9" ht="15" thickTop="1" x14ac:dyDescent="0.25">
      <c r="A30" s="32" t="s">
        <v>4</v>
      </c>
      <c r="B30" s="9"/>
      <c r="C30" s="9"/>
      <c r="D30" s="33">
        <v>7005</v>
      </c>
      <c r="E30" s="33">
        <v>44172.27</v>
      </c>
      <c r="F30" s="34">
        <f>SUM(E30/D30)*10</f>
        <v>63.058201284796567</v>
      </c>
      <c r="G30" s="33">
        <v>2952</v>
      </c>
      <c r="H30" s="33">
        <v>83587.899999999994</v>
      </c>
      <c r="I30" s="35">
        <f>SUM(H30/G30)*10</f>
        <v>283.15684281842817</v>
      </c>
    </row>
    <row r="31" spans="1:9" ht="14.4" x14ac:dyDescent="0.25">
      <c r="A31" s="36" t="s">
        <v>2</v>
      </c>
      <c r="B31" s="37"/>
      <c r="C31" s="37"/>
      <c r="D31" s="38">
        <v>6105</v>
      </c>
      <c r="E31" s="38">
        <v>40132.450000000004</v>
      </c>
      <c r="F31" s="34">
        <f>SUM(E31/D31)*10</f>
        <v>65.737018837018852</v>
      </c>
      <c r="G31" s="38">
        <v>4183</v>
      </c>
      <c r="H31" s="38">
        <v>124401.85</v>
      </c>
      <c r="I31" s="34">
        <f>SUM(H31/G31)*10</f>
        <v>297.39863734162088</v>
      </c>
    </row>
    <row r="32" spans="1:9" ht="14.4" x14ac:dyDescent="0.25">
      <c r="A32" s="36" t="s">
        <v>1</v>
      </c>
      <c r="B32" s="36"/>
      <c r="C32" s="36"/>
      <c r="D32" s="39">
        <v>7853</v>
      </c>
      <c r="E32" s="39">
        <v>51949.82</v>
      </c>
      <c r="F32" s="34">
        <f>SUM(E32/D32)*10</f>
        <v>66.152833312110019</v>
      </c>
      <c r="G32" s="39">
        <v>4597</v>
      </c>
      <c r="H32" s="39">
        <v>130274.21</v>
      </c>
      <c r="I32" s="34">
        <f>SUM(H32/G32)*10</f>
        <v>283.38962366760933</v>
      </c>
    </row>
    <row r="33" spans="1:9" ht="15" thickBot="1" x14ac:dyDescent="0.3">
      <c r="A33" s="40" t="s">
        <v>0</v>
      </c>
      <c r="B33" s="40"/>
      <c r="C33" s="40"/>
      <c r="D33" s="39">
        <v>8664</v>
      </c>
      <c r="E33" s="39">
        <v>63108</v>
      </c>
      <c r="F33" s="34">
        <f>SUM(E33/D33)*10</f>
        <v>72.8393351800554</v>
      </c>
      <c r="G33" s="39">
        <v>3722</v>
      </c>
      <c r="H33" s="41">
        <v>102655</v>
      </c>
      <c r="I33" s="34">
        <f>SUM(H33/G33)*10</f>
        <v>275.80601826974748</v>
      </c>
    </row>
    <row r="34" spans="1:9" ht="13.5" customHeight="1" thickTop="1" x14ac:dyDescent="0.3">
      <c r="A34" s="42" t="s">
        <v>68</v>
      </c>
      <c r="B34" s="43"/>
      <c r="C34" s="43"/>
      <c r="D34" s="43"/>
      <c r="E34" s="43"/>
      <c r="F34" s="43"/>
      <c r="G34" s="43"/>
      <c r="H34" s="43"/>
      <c r="I34" s="43"/>
    </row>
    <row r="35" spans="1:9" ht="12.75" customHeight="1" x14ac:dyDescent="0.25"/>
    <row r="36" spans="1:9" ht="12.75" customHeight="1" x14ac:dyDescent="0.25"/>
    <row r="37" spans="1:9" ht="12.75" customHeight="1" x14ac:dyDescent="0.25"/>
    <row r="38" spans="1:9" ht="12.75" customHeight="1" x14ac:dyDescent="0.25"/>
    <row r="39" spans="1:9" ht="12.75" customHeight="1" x14ac:dyDescent="0.25"/>
    <row r="40" spans="1:9" ht="12.75" customHeight="1" x14ac:dyDescent="0.25"/>
    <row r="41" spans="1:9" ht="12.75" customHeight="1" x14ac:dyDescent="0.25"/>
    <row r="42" spans="1:9" ht="12.75" customHeight="1" x14ac:dyDescent="0.25"/>
    <row r="43" spans="1:9" ht="12.75" customHeight="1" x14ac:dyDescent="0.25"/>
    <row r="44" spans="1:9" ht="12.75" customHeight="1" x14ac:dyDescent="0.25"/>
    <row r="45" spans="1:9" ht="12.75" customHeight="1" x14ac:dyDescent="0.25"/>
    <row r="46" spans="1:9" ht="12.75" customHeight="1" x14ac:dyDescent="0.25"/>
    <row r="47" spans="1:9" ht="12.75" customHeight="1" x14ac:dyDescent="0.25"/>
    <row r="48" spans="1:9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mergeCells count="10">
    <mergeCell ref="A32:C32"/>
    <mergeCell ref="A33:C33"/>
    <mergeCell ref="A30:C30"/>
    <mergeCell ref="A31:C31"/>
    <mergeCell ref="A7:C7"/>
    <mergeCell ref="A29:C29"/>
    <mergeCell ref="A3:C6"/>
    <mergeCell ref="D3:F3"/>
    <mergeCell ref="G3:I3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2025-07-10T03:55:26Z</dcterms:created>
  <dcterms:modified xsi:type="dcterms:W3CDTF">2025-07-10T03:58:08Z</dcterms:modified>
</cp:coreProperties>
</file>