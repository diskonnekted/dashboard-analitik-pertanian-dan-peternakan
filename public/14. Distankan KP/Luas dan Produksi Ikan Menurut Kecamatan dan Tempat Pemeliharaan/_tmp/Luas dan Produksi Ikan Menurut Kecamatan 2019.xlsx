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64094A1-3B5E-44BF-AD28-301EE6821009}" xr6:coauthVersionLast="47" xr6:coauthVersionMax="47" xr10:uidLastSave="{00000000-0000-0000-0000-000000000000}"/>
  <bookViews>
    <workbookView xWindow="28680" yWindow="-120" windowWidth="29040" windowHeight="15720" xr2:uid="{371F8AD8-D8E6-4572-AE01-FA8577E18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L31" i="1"/>
  <c r="J31" i="1"/>
  <c r="H31" i="1"/>
  <c r="G31" i="1"/>
  <c r="E31" i="1"/>
  <c r="D31" i="1"/>
</calcChain>
</file>

<file path=xl/sharedStrings.xml><?xml version="1.0" encoding="utf-8"?>
<sst xmlns="http://schemas.openxmlformats.org/spreadsheetml/2006/main" count="76" uniqueCount="65">
  <si>
    <r>
      <t>Tabel</t>
    </r>
    <r>
      <rPr>
        <b/>
        <sz val="11"/>
        <rFont val="Calibri"/>
        <family val="2"/>
      </rPr>
      <t xml:space="preserve"> : 5.5.2.</t>
    </r>
  </si>
  <si>
    <t>Luas dan Produksi Ikan Menurut Kecamatan dan Jenis/Tempat</t>
  </si>
  <si>
    <t>Table</t>
  </si>
  <si>
    <t>Pemeliharaan di Kab. Banjarnegara Tahun 2019</t>
  </si>
  <si>
    <t>Area and Production of Fish by Subdistrict and Kind of</t>
  </si>
  <si>
    <t>Fishery Place in Banjarnegara 2019</t>
  </si>
  <si>
    <r>
      <t xml:space="preserve">Kecamatan           </t>
    </r>
    <r>
      <rPr>
        <i/>
        <sz val="11"/>
        <rFont val="Calibri"/>
        <family val="2"/>
      </rPr>
      <t>Subdistrict</t>
    </r>
  </si>
  <si>
    <t>Jenis/Tempat Pemeliharaan</t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</si>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</sst>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6" formatCode="\(General\)"/>
    <numFmt numFmtId="167" formatCode="_(* #,##0.00_);_(* \(#,##0.00\);_(* &quot;-&quot;_);_(@_)"/>
    <numFmt numFmtId="168" formatCode="_(* #,##0_);_(* \(#,##0\);_(* &quot;-&quot;??_);_(@_)"/>
    <numFmt numFmtId="169" formatCode="_(* #,##0.000_);_(* \(#,##0.000\);_(* &quot;-&quot;_);_(@_)"/>
    <numFmt numFmtId="170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10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0" fillId="0" borderId="5" xfId="1" applyFont="1" applyBorder="1"/>
    <xf numFmtId="0" fontId="5" fillId="0" borderId="3" xfId="1" quotePrefix="1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9" fontId="5" fillId="0" borderId="0" xfId="1" applyNumberFormat="1" applyFont="1" applyAlignment="1">
      <alignment horizontal="right"/>
    </xf>
    <xf numFmtId="167" fontId="11" fillId="0" borderId="0" xfId="1" applyNumberFormat="1" applyFont="1" applyAlignment="1">
      <alignment horizontal="right"/>
    </xf>
    <xf numFmtId="168" fontId="11" fillId="0" borderId="0" xfId="1" applyNumberFormat="1" applyFont="1" applyAlignment="1">
      <alignment horizontal="right"/>
    </xf>
    <xf numFmtId="169" fontId="11" fillId="0" borderId="0" xfId="1" applyNumberFormat="1" applyFont="1" applyAlignment="1">
      <alignment horizontal="right"/>
    </xf>
    <xf numFmtId="2" fontId="5" fillId="0" borderId="0" xfId="1" applyNumberFormat="1" applyFont="1"/>
    <xf numFmtId="170" fontId="11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8" fontId="6" fillId="0" borderId="0" xfId="1" applyNumberFormat="1" applyFont="1"/>
    <xf numFmtId="0" fontId="11" fillId="0" borderId="0" xfId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7" fontId="12" fillId="0" borderId="4" xfId="1" applyNumberFormat="1" applyFont="1" applyBorder="1" applyAlignment="1">
      <alignment horizontal="left" vertical="center"/>
    </xf>
    <xf numFmtId="170" fontId="5" fillId="0" borderId="4" xfId="1" applyNumberFormat="1" applyFont="1" applyBorder="1" applyAlignment="1">
      <alignment horizontal="left" vertical="center"/>
    </xf>
    <xf numFmtId="167" fontId="5" fillId="0" borderId="4" xfId="1" applyNumberFormat="1" applyFont="1" applyBorder="1" applyAlignment="1">
      <alignment horizontal="left" vertical="center"/>
    </xf>
    <xf numFmtId="167" fontId="13" fillId="0" borderId="4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10" fillId="0" borderId="4" xfId="1" applyFont="1" applyBorder="1"/>
    <xf numFmtId="170" fontId="12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12" fillId="0" borderId="0" xfId="1" applyNumberFormat="1" applyFont="1" applyAlignment="1">
      <alignment horizontal="left" vertical="center"/>
    </xf>
    <xf numFmtId="170" fontId="12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7" fontId="12" fillId="0" borderId="6" xfId="1" applyNumberFormat="1" applyFont="1" applyBorder="1" applyAlignment="1">
      <alignment horizontal="left" vertical="center"/>
    </xf>
    <xf numFmtId="170" fontId="12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3">
    <cellStyle name="Comma [0] 2 2" xfId="2" xr:uid="{B4AD9404-DCDB-4E86-A7AC-FEF35472753F}"/>
    <cellStyle name="Normal" xfId="0" builtinId="0"/>
    <cellStyle name="Normal 4" xfId="1" xr:uid="{0AEABD3C-385D-4B15-B557-399E5C05C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676C-72C6-404B-B6D5-C17BB7BEC814}">
  <dimension ref="A1:BA999"/>
  <sheetViews>
    <sheetView tabSelected="1" workbookViewId="0">
      <selection activeCell="D1" sqref="D1:M1"/>
    </sheetView>
  </sheetViews>
  <sheetFormatPr defaultColWidth="14.44140625" defaultRowHeight="13.2" x14ac:dyDescent="0.25"/>
  <cols>
    <col min="1" max="1" width="2.77734375" style="7" customWidth="1"/>
    <col min="2" max="2" width="12.77734375" style="7" customWidth="1"/>
    <col min="3" max="3" width="0.77734375" style="7" hidden="1" customWidth="1"/>
    <col min="4" max="4" width="7.5546875" style="7" customWidth="1"/>
    <col min="5" max="5" width="12.44140625" style="7" customWidth="1"/>
    <col min="6" max="6" width="2" style="7" customWidth="1"/>
    <col min="7" max="7" width="7" style="7" customWidth="1"/>
    <col min="8" max="8" width="10" style="7" customWidth="1"/>
    <col min="9" max="9" width="6.5546875" style="7" customWidth="1"/>
    <col min="10" max="10" width="11.44140625" style="7" customWidth="1"/>
    <col min="11" max="11" width="3.21875" style="7" customWidth="1"/>
    <col min="12" max="12" width="6.77734375" style="7" customWidth="1"/>
    <col min="13" max="13" width="11.21875" style="7" customWidth="1"/>
    <col min="14" max="16384" width="14.44140625" style="7"/>
  </cols>
  <sheetData>
    <row r="1" spans="1:13" ht="14.4" x14ac:dyDescent="0.3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ht="14.4" x14ac:dyDescent="0.3">
      <c r="A2" s="8" t="s">
        <v>2</v>
      </c>
      <c r="B2" s="9"/>
      <c r="C2" s="9"/>
      <c r="D2" s="10" t="s">
        <v>3</v>
      </c>
      <c r="E2" s="2"/>
      <c r="F2" s="2"/>
      <c r="G2" s="2"/>
      <c r="H2" s="2"/>
      <c r="I2" s="2"/>
      <c r="J2" s="2"/>
      <c r="K2" s="2"/>
      <c r="L2" s="2"/>
      <c r="M2" s="2"/>
    </row>
    <row r="3" spans="1:13" ht="14.4" x14ac:dyDescent="0.3">
      <c r="A3" s="9"/>
      <c r="B3" s="9"/>
      <c r="C3" s="9"/>
      <c r="D3" s="11" t="s">
        <v>4</v>
      </c>
      <c r="E3" s="2"/>
      <c r="F3" s="2"/>
      <c r="G3" s="2"/>
      <c r="H3" s="2"/>
      <c r="I3" s="2"/>
      <c r="J3" s="2"/>
      <c r="K3" s="2"/>
      <c r="L3" s="2"/>
      <c r="M3" s="2"/>
    </row>
    <row r="4" spans="1:13" ht="15" thickBot="1" x14ac:dyDescent="0.35">
      <c r="A4" s="5"/>
      <c r="B4" s="5"/>
      <c r="C4" s="5"/>
      <c r="D4" s="11" t="s">
        <v>5</v>
      </c>
      <c r="E4" s="2"/>
      <c r="F4" s="2"/>
      <c r="G4" s="2"/>
      <c r="H4" s="2"/>
      <c r="I4" s="2"/>
      <c r="J4" s="2"/>
      <c r="K4" s="2"/>
      <c r="L4" s="2"/>
      <c r="M4" s="2"/>
    </row>
    <row r="5" spans="1:13" ht="17.25" customHeight="1" thickTop="1" x14ac:dyDescent="0.25">
      <c r="A5" s="12" t="s">
        <v>6</v>
      </c>
      <c r="B5" s="13"/>
      <c r="C5" s="13"/>
      <c r="D5" s="14" t="s">
        <v>7</v>
      </c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25">
      <c r="A6" s="2"/>
      <c r="B6" s="2"/>
      <c r="C6" s="2"/>
      <c r="D6" s="16" t="s">
        <v>8</v>
      </c>
      <c r="E6" s="17"/>
      <c r="F6" s="18"/>
      <c r="G6" s="16" t="s">
        <v>9</v>
      </c>
      <c r="H6" s="17"/>
      <c r="I6" s="16" t="s">
        <v>10</v>
      </c>
      <c r="J6" s="17"/>
      <c r="K6" s="17"/>
      <c r="L6" s="17"/>
      <c r="M6" s="17"/>
    </row>
    <row r="7" spans="1:13" ht="14.4" x14ac:dyDescent="0.25">
      <c r="A7" s="2"/>
      <c r="B7" s="2"/>
      <c r="C7" s="2"/>
      <c r="D7" s="19" t="s">
        <v>11</v>
      </c>
      <c r="E7" s="20" t="s">
        <v>12</v>
      </c>
      <c r="F7" s="20"/>
      <c r="G7" s="20" t="s">
        <v>11</v>
      </c>
      <c r="H7" s="20" t="s">
        <v>12</v>
      </c>
      <c r="I7" s="16" t="s">
        <v>13</v>
      </c>
      <c r="J7" s="17"/>
      <c r="K7" s="18"/>
      <c r="L7" s="16" t="s">
        <v>14</v>
      </c>
      <c r="M7" s="17"/>
    </row>
    <row r="8" spans="1:13" ht="14.4" x14ac:dyDescent="0.25">
      <c r="A8" s="2"/>
      <c r="B8" s="2"/>
      <c r="C8" s="2"/>
      <c r="D8" s="19" t="s">
        <v>15</v>
      </c>
      <c r="E8" s="19" t="s">
        <v>16</v>
      </c>
      <c r="F8" s="19"/>
      <c r="G8" s="19" t="s">
        <v>15</v>
      </c>
      <c r="H8" s="21" t="s">
        <v>16</v>
      </c>
      <c r="I8" s="20" t="s">
        <v>11</v>
      </c>
      <c r="J8" s="20" t="s">
        <v>12</v>
      </c>
      <c r="K8" s="20"/>
      <c r="L8" s="20" t="s">
        <v>11</v>
      </c>
      <c r="M8" s="20" t="s">
        <v>12</v>
      </c>
    </row>
    <row r="9" spans="1:13" ht="14.4" x14ac:dyDescent="0.25">
      <c r="A9" s="22"/>
      <c r="B9" s="22"/>
      <c r="C9" s="22"/>
      <c r="D9" s="19"/>
      <c r="E9" s="19"/>
      <c r="F9" s="19"/>
      <c r="G9" s="19"/>
      <c r="H9" s="19"/>
      <c r="I9" s="19" t="s">
        <v>15</v>
      </c>
      <c r="J9" s="19" t="s">
        <v>17</v>
      </c>
      <c r="K9" s="19"/>
      <c r="L9" s="19" t="s">
        <v>15</v>
      </c>
      <c r="M9" s="19" t="s">
        <v>16</v>
      </c>
    </row>
    <row r="10" spans="1:13" ht="14.4" x14ac:dyDescent="0.25">
      <c r="A10" s="23" t="s">
        <v>18</v>
      </c>
      <c r="B10" s="17"/>
      <c r="C10" s="17"/>
      <c r="D10" s="24">
        <v>2</v>
      </c>
      <c r="E10" s="24">
        <v>3</v>
      </c>
      <c r="F10" s="24"/>
      <c r="G10" s="24">
        <v>4</v>
      </c>
      <c r="H10" s="24">
        <v>5</v>
      </c>
      <c r="I10" s="24">
        <v>6</v>
      </c>
      <c r="J10" s="24">
        <v>7</v>
      </c>
      <c r="K10" s="24"/>
      <c r="L10" s="24">
        <v>8</v>
      </c>
      <c r="M10" s="24">
        <v>9</v>
      </c>
    </row>
    <row r="11" spans="1:13" ht="14.4" x14ac:dyDescent="0.3">
      <c r="A11" s="25" t="s">
        <v>19</v>
      </c>
      <c r="B11" s="26" t="s">
        <v>20</v>
      </c>
      <c r="C11" s="26"/>
      <c r="D11" s="28">
        <v>3.22</v>
      </c>
      <c r="E11" s="29">
        <v>515603</v>
      </c>
      <c r="F11" s="29"/>
      <c r="G11" s="27">
        <v>0</v>
      </c>
      <c r="H11" s="27">
        <v>0</v>
      </c>
      <c r="I11" s="27"/>
      <c r="J11" s="30"/>
      <c r="K11" s="30"/>
      <c r="L11" s="28">
        <v>5</v>
      </c>
      <c r="M11" s="29">
        <v>7000</v>
      </c>
    </row>
    <row r="12" spans="1:13" ht="14.4" x14ac:dyDescent="0.3">
      <c r="A12" s="25" t="s">
        <v>21</v>
      </c>
      <c r="B12" s="26" t="s">
        <v>22</v>
      </c>
      <c r="C12" s="26"/>
      <c r="D12" s="28">
        <v>23.8</v>
      </c>
      <c r="E12" s="29">
        <v>1374642</v>
      </c>
      <c r="F12" s="29"/>
      <c r="G12" s="27">
        <v>0</v>
      </c>
      <c r="H12" s="27">
        <v>0</v>
      </c>
      <c r="I12" s="27"/>
      <c r="J12" s="30"/>
      <c r="K12" s="30"/>
      <c r="L12" s="27">
        <v>0</v>
      </c>
      <c r="M12" s="27">
        <v>0</v>
      </c>
    </row>
    <row r="13" spans="1:13" ht="14.4" x14ac:dyDescent="0.3">
      <c r="A13" s="25" t="s">
        <v>23</v>
      </c>
      <c r="B13" s="26" t="s">
        <v>24</v>
      </c>
      <c r="C13" s="26"/>
      <c r="D13" s="28">
        <v>47.05</v>
      </c>
      <c r="E13" s="29">
        <v>3678905</v>
      </c>
      <c r="F13" s="29"/>
      <c r="G13" s="27">
        <v>0</v>
      </c>
      <c r="H13" s="27">
        <v>0</v>
      </c>
      <c r="I13" s="31"/>
      <c r="J13" s="32">
        <v>2783897</v>
      </c>
      <c r="K13" s="32"/>
      <c r="L13" s="33">
        <v>12.5</v>
      </c>
      <c r="M13" s="34">
        <v>17500</v>
      </c>
    </row>
    <row r="14" spans="1:13" ht="14.4" x14ac:dyDescent="0.3">
      <c r="A14" s="25" t="s">
        <v>25</v>
      </c>
      <c r="B14" s="26" t="s">
        <v>26</v>
      </c>
      <c r="C14" s="26"/>
      <c r="D14" s="28">
        <v>284.67</v>
      </c>
      <c r="E14" s="29">
        <v>6101349</v>
      </c>
      <c r="F14" s="29"/>
      <c r="G14" s="27">
        <v>0</v>
      </c>
      <c r="H14" s="27">
        <v>0</v>
      </c>
      <c r="I14" s="31"/>
      <c r="J14" s="32">
        <v>6054977</v>
      </c>
      <c r="K14" s="32"/>
      <c r="L14" s="33">
        <v>43.7</v>
      </c>
      <c r="M14" s="34">
        <v>61180</v>
      </c>
    </row>
    <row r="15" spans="1:13" ht="14.4" x14ac:dyDescent="0.3">
      <c r="A15" s="25" t="s">
        <v>27</v>
      </c>
      <c r="B15" s="26" t="s">
        <v>28</v>
      </c>
      <c r="C15" s="26"/>
      <c r="D15" s="28">
        <v>73.02</v>
      </c>
      <c r="E15" s="29">
        <v>5609251</v>
      </c>
      <c r="F15" s="29"/>
      <c r="G15" s="28">
        <v>0.6</v>
      </c>
      <c r="H15" s="32">
        <v>79382</v>
      </c>
      <c r="I15" s="31"/>
      <c r="J15" s="32">
        <v>1203041</v>
      </c>
      <c r="K15" s="32"/>
      <c r="L15" s="33">
        <v>14</v>
      </c>
      <c r="M15" s="34">
        <v>19600</v>
      </c>
    </row>
    <row r="16" spans="1:13" ht="14.4" x14ac:dyDescent="0.3">
      <c r="A16" s="25" t="s">
        <v>29</v>
      </c>
      <c r="B16" s="26" t="s">
        <v>30</v>
      </c>
      <c r="C16" s="26"/>
      <c r="D16" s="28">
        <v>29.29</v>
      </c>
      <c r="E16" s="29">
        <v>1900784</v>
      </c>
      <c r="F16" s="29"/>
      <c r="G16" s="27">
        <v>0</v>
      </c>
      <c r="H16" s="27">
        <v>0</v>
      </c>
      <c r="I16" s="31"/>
      <c r="J16" s="32"/>
      <c r="K16" s="32"/>
      <c r="L16" s="27">
        <v>0</v>
      </c>
      <c r="M16" s="27">
        <v>0</v>
      </c>
    </row>
    <row r="17" spans="1:13" ht="14.4" x14ac:dyDescent="0.3">
      <c r="A17" s="25" t="s">
        <v>31</v>
      </c>
      <c r="B17" s="26" t="s">
        <v>32</v>
      </c>
      <c r="C17" s="26"/>
      <c r="D17" s="28">
        <v>19.079999999999998</v>
      </c>
      <c r="E17" s="29">
        <v>1767564</v>
      </c>
      <c r="F17" s="29"/>
      <c r="G17" s="27">
        <v>0</v>
      </c>
      <c r="H17" s="27">
        <v>0</v>
      </c>
      <c r="I17" s="31"/>
      <c r="J17" s="32"/>
      <c r="K17" s="32"/>
      <c r="L17" s="27">
        <v>0</v>
      </c>
      <c r="M17" s="27">
        <v>0</v>
      </c>
    </row>
    <row r="18" spans="1:13" ht="14.4" x14ac:dyDescent="0.3">
      <c r="A18" s="25" t="s">
        <v>33</v>
      </c>
      <c r="B18" s="26" t="s">
        <v>34</v>
      </c>
      <c r="C18" s="26"/>
      <c r="D18" s="28">
        <v>11.22</v>
      </c>
      <c r="E18" s="29">
        <v>392557</v>
      </c>
      <c r="F18" s="29"/>
      <c r="G18" s="27">
        <v>0</v>
      </c>
      <c r="H18" s="27">
        <v>0</v>
      </c>
      <c r="I18" s="27"/>
      <c r="J18" s="35"/>
      <c r="K18" s="35"/>
      <c r="L18" s="27">
        <v>0</v>
      </c>
      <c r="M18" s="27">
        <v>0</v>
      </c>
    </row>
    <row r="19" spans="1:13" ht="14.4" x14ac:dyDescent="0.3">
      <c r="A19" s="25" t="s">
        <v>35</v>
      </c>
      <c r="B19" s="26" t="s">
        <v>36</v>
      </c>
      <c r="C19" s="26"/>
      <c r="D19" s="28">
        <v>36.19</v>
      </c>
      <c r="E19" s="29">
        <v>1511298</v>
      </c>
      <c r="F19" s="29"/>
      <c r="G19" s="27">
        <v>0</v>
      </c>
      <c r="H19" s="27">
        <v>0</v>
      </c>
      <c r="I19" s="27"/>
      <c r="J19" s="35"/>
      <c r="K19" s="35"/>
      <c r="L19" s="27">
        <v>0</v>
      </c>
      <c r="M19" s="27">
        <v>0</v>
      </c>
    </row>
    <row r="20" spans="1:13" ht="14.4" x14ac:dyDescent="0.3">
      <c r="A20" s="25" t="s">
        <v>37</v>
      </c>
      <c r="B20" s="26" t="s">
        <v>38</v>
      </c>
      <c r="C20" s="26"/>
      <c r="D20" s="28">
        <v>19.760000000000002</v>
      </c>
      <c r="E20" s="29">
        <v>956880</v>
      </c>
      <c r="F20" s="29"/>
      <c r="G20" s="27">
        <v>0</v>
      </c>
      <c r="H20" s="27">
        <v>0</v>
      </c>
      <c r="I20" s="27"/>
      <c r="J20" s="35"/>
      <c r="K20" s="35"/>
      <c r="L20" s="27">
        <v>0</v>
      </c>
      <c r="M20" s="27">
        <v>0</v>
      </c>
    </row>
    <row r="21" spans="1:13" ht="14.4" x14ac:dyDescent="0.3">
      <c r="A21" s="36" t="s">
        <v>39</v>
      </c>
      <c r="B21" s="26" t="s">
        <v>40</v>
      </c>
      <c r="C21" s="26"/>
      <c r="D21" s="28">
        <v>46.45</v>
      </c>
      <c r="E21" s="29">
        <v>2226174</v>
      </c>
      <c r="F21" s="29"/>
      <c r="G21" s="28">
        <v>3.71</v>
      </c>
      <c r="H21" s="32">
        <v>153789</v>
      </c>
      <c r="I21" s="27"/>
      <c r="J21" s="35"/>
      <c r="K21" s="35"/>
      <c r="L21" s="27">
        <v>0</v>
      </c>
      <c r="M21" s="27">
        <v>0</v>
      </c>
    </row>
    <row r="22" spans="1:13" ht="14.4" x14ac:dyDescent="0.3">
      <c r="A22" s="36" t="s">
        <v>41</v>
      </c>
      <c r="B22" s="26" t="s">
        <v>42</v>
      </c>
      <c r="C22" s="26"/>
      <c r="D22" s="28">
        <v>80.459999999999994</v>
      </c>
      <c r="E22" s="29">
        <v>2157645</v>
      </c>
      <c r="F22" s="29"/>
      <c r="G22" s="27">
        <v>0</v>
      </c>
      <c r="H22" s="27">
        <v>0</v>
      </c>
      <c r="I22" s="31"/>
      <c r="J22" s="32">
        <v>1212984</v>
      </c>
      <c r="K22" s="32"/>
      <c r="L22" s="33">
        <v>20</v>
      </c>
      <c r="M22" s="34">
        <v>28000</v>
      </c>
    </row>
    <row r="23" spans="1:13" ht="14.4" x14ac:dyDescent="0.3">
      <c r="A23" s="36" t="s">
        <v>43</v>
      </c>
      <c r="B23" s="26" t="s">
        <v>44</v>
      </c>
      <c r="C23" s="26"/>
      <c r="D23" s="28">
        <v>48.8</v>
      </c>
      <c r="E23" s="29">
        <v>1391208</v>
      </c>
      <c r="F23" s="29"/>
      <c r="G23" s="27">
        <v>0</v>
      </c>
      <c r="H23" s="27">
        <v>0</v>
      </c>
      <c r="I23" s="27"/>
      <c r="J23" s="30"/>
      <c r="K23" s="30"/>
      <c r="L23" s="27">
        <v>0</v>
      </c>
      <c r="M23" s="27">
        <v>0</v>
      </c>
    </row>
    <row r="24" spans="1:13" ht="14.4" x14ac:dyDescent="0.3">
      <c r="A24" s="36" t="s">
        <v>45</v>
      </c>
      <c r="B24" s="26" t="s">
        <v>46</v>
      </c>
      <c r="C24" s="26"/>
      <c r="D24" s="28">
        <v>10.8</v>
      </c>
      <c r="E24" s="29">
        <v>518099</v>
      </c>
      <c r="F24" s="29"/>
      <c r="G24" s="27">
        <v>0</v>
      </c>
      <c r="H24" s="27">
        <v>0</v>
      </c>
      <c r="I24" s="27"/>
      <c r="J24" s="30"/>
      <c r="K24" s="30"/>
      <c r="L24" s="27">
        <v>0</v>
      </c>
      <c r="M24" s="27">
        <v>0</v>
      </c>
    </row>
    <row r="25" spans="1:13" ht="14.4" x14ac:dyDescent="0.3">
      <c r="A25" s="36" t="s">
        <v>47</v>
      </c>
      <c r="B25" s="26" t="s">
        <v>48</v>
      </c>
      <c r="C25" s="26"/>
      <c r="D25" s="28">
        <v>11.78</v>
      </c>
      <c r="E25" s="29">
        <v>188696</v>
      </c>
      <c r="F25" s="29"/>
      <c r="G25" s="27">
        <v>0</v>
      </c>
      <c r="H25" s="27">
        <v>0</v>
      </c>
      <c r="I25" s="27"/>
      <c r="J25" s="30"/>
      <c r="K25" s="30"/>
      <c r="L25" s="27">
        <v>0</v>
      </c>
      <c r="M25" s="27">
        <v>0</v>
      </c>
    </row>
    <row r="26" spans="1:13" ht="14.4" x14ac:dyDescent="0.3">
      <c r="A26" s="36" t="s">
        <v>49</v>
      </c>
      <c r="B26" s="26" t="s">
        <v>50</v>
      </c>
      <c r="C26" s="26"/>
      <c r="D26" s="28">
        <v>10.7</v>
      </c>
      <c r="E26" s="29">
        <v>281797</v>
      </c>
      <c r="F26" s="29"/>
      <c r="G26" s="27">
        <v>0</v>
      </c>
      <c r="H26" s="27">
        <v>0</v>
      </c>
      <c r="I26" s="27"/>
      <c r="J26" s="30"/>
      <c r="K26" s="30"/>
      <c r="L26" s="27">
        <v>0</v>
      </c>
      <c r="M26" s="27">
        <v>0</v>
      </c>
    </row>
    <row r="27" spans="1:13" ht="14.4" x14ac:dyDescent="0.3">
      <c r="A27" s="36" t="s">
        <v>51</v>
      </c>
      <c r="B27" s="26" t="s">
        <v>52</v>
      </c>
      <c r="C27" s="26"/>
      <c r="D27" s="28">
        <v>0.23</v>
      </c>
      <c r="E27" s="29">
        <v>28410</v>
      </c>
      <c r="F27" s="29"/>
      <c r="G27" s="27">
        <v>0</v>
      </c>
      <c r="H27" s="27">
        <v>0</v>
      </c>
      <c r="I27" s="27"/>
      <c r="J27" s="30"/>
      <c r="K27" s="30"/>
      <c r="L27" s="27">
        <v>0</v>
      </c>
      <c r="M27" s="27">
        <v>0</v>
      </c>
    </row>
    <row r="28" spans="1:13" ht="14.4" x14ac:dyDescent="0.3">
      <c r="A28" s="36" t="s">
        <v>53</v>
      </c>
      <c r="B28" s="26" t="s">
        <v>54</v>
      </c>
      <c r="C28" s="26"/>
      <c r="D28" s="28">
        <v>24.15</v>
      </c>
      <c r="E28" s="29">
        <v>378544</v>
      </c>
      <c r="F28" s="29"/>
      <c r="G28" s="27">
        <v>0</v>
      </c>
      <c r="H28" s="27">
        <v>0</v>
      </c>
      <c r="I28" s="27"/>
      <c r="J28" s="30"/>
      <c r="K28" s="30"/>
      <c r="L28" s="27">
        <v>0</v>
      </c>
      <c r="M28" s="27">
        <v>0</v>
      </c>
    </row>
    <row r="29" spans="1:13" ht="14.4" x14ac:dyDescent="0.3">
      <c r="A29" s="36" t="s">
        <v>55</v>
      </c>
      <c r="B29" s="26" t="s">
        <v>56</v>
      </c>
      <c r="C29" s="26"/>
      <c r="D29" s="28">
        <v>11.09</v>
      </c>
      <c r="E29" s="29">
        <v>141858</v>
      </c>
      <c r="F29" s="29"/>
      <c r="G29" s="27">
        <v>0</v>
      </c>
      <c r="H29" s="27">
        <v>0</v>
      </c>
      <c r="I29" s="27"/>
      <c r="J29" s="30"/>
      <c r="K29" s="30"/>
      <c r="L29" s="27">
        <v>0</v>
      </c>
      <c r="M29" s="27">
        <v>0</v>
      </c>
    </row>
    <row r="30" spans="1:13" ht="14.4" x14ac:dyDescent="0.3">
      <c r="A30" s="36" t="s">
        <v>57</v>
      </c>
      <c r="B30" s="26" t="s">
        <v>58</v>
      </c>
      <c r="C30" s="26"/>
      <c r="D30" s="28">
        <v>2.23</v>
      </c>
      <c r="E30" s="29">
        <v>82543</v>
      </c>
      <c r="F30" s="29"/>
      <c r="G30" s="27">
        <v>0</v>
      </c>
      <c r="H30" s="27">
        <v>0</v>
      </c>
      <c r="I30" s="27"/>
      <c r="J30" s="30"/>
      <c r="K30" s="30"/>
      <c r="L30" s="27">
        <v>0</v>
      </c>
      <c r="M30" s="27">
        <v>0</v>
      </c>
    </row>
    <row r="31" spans="1:13" ht="15" customHeight="1" x14ac:dyDescent="0.25">
      <c r="A31" s="37"/>
      <c r="B31" s="38" t="s">
        <v>59</v>
      </c>
      <c r="C31" s="38"/>
      <c r="D31" s="39">
        <f t="shared" ref="D31:H31" si="0">SUM(D11:D30)</f>
        <v>793.99</v>
      </c>
      <c r="E31" s="40">
        <f t="shared" si="0"/>
        <v>31203807</v>
      </c>
      <c r="F31" s="40"/>
      <c r="G31" s="41">
        <f t="shared" si="0"/>
        <v>4.3099999999999996</v>
      </c>
      <c r="H31" s="42">
        <f t="shared" si="0"/>
        <v>233171</v>
      </c>
      <c r="I31" s="41"/>
      <c r="J31" s="41">
        <f t="shared" ref="J31:M31" si="1">SUM(J11:J30)</f>
        <v>11254899</v>
      </c>
      <c r="K31" s="41"/>
      <c r="L31" s="41">
        <f t="shared" si="1"/>
        <v>95.2</v>
      </c>
      <c r="M31" s="40">
        <f t="shared" si="1"/>
        <v>133280</v>
      </c>
    </row>
    <row r="32" spans="1:13" ht="13.5" customHeight="1" x14ac:dyDescent="0.25">
      <c r="A32" s="43" t="s">
        <v>61</v>
      </c>
      <c r="B32" s="44"/>
      <c r="C32" s="44"/>
      <c r="D32" s="39">
        <v>793.99</v>
      </c>
      <c r="E32" s="45">
        <v>29750630.999999981</v>
      </c>
      <c r="F32" s="45"/>
      <c r="G32" s="39">
        <v>4.3079999999999998</v>
      </c>
      <c r="H32" s="45">
        <v>249241.32725711251</v>
      </c>
      <c r="I32" s="39">
        <v>0</v>
      </c>
      <c r="J32" s="45">
        <v>0</v>
      </c>
      <c r="K32" s="45"/>
      <c r="L32" s="39">
        <v>99.2</v>
      </c>
      <c r="M32" s="39">
        <v>123760.0155513972</v>
      </c>
    </row>
    <row r="33" spans="1:13" ht="13.5" customHeight="1" x14ac:dyDescent="0.25">
      <c r="A33" s="46" t="s">
        <v>60</v>
      </c>
      <c r="B33" s="2"/>
      <c r="C33" s="2"/>
      <c r="D33" s="47">
        <v>793.99</v>
      </c>
      <c r="E33" s="48">
        <v>26833367</v>
      </c>
      <c r="F33" s="48"/>
      <c r="G33" s="47">
        <v>4.3133999999999997</v>
      </c>
      <c r="H33" s="48">
        <v>251330</v>
      </c>
      <c r="I33" s="47">
        <v>52.6</v>
      </c>
      <c r="J33" s="48">
        <v>10459500</v>
      </c>
      <c r="K33" s="48"/>
      <c r="L33" s="47">
        <v>95.2</v>
      </c>
      <c r="M33" s="47">
        <v>84726.999152730001</v>
      </c>
    </row>
    <row r="34" spans="1:13" ht="13.5" customHeight="1" x14ac:dyDescent="0.25">
      <c r="A34" s="46" t="s">
        <v>62</v>
      </c>
      <c r="B34" s="2"/>
      <c r="C34" s="2"/>
      <c r="D34" s="47">
        <v>793.99</v>
      </c>
      <c r="E34" s="48">
        <v>25329630.433499999</v>
      </c>
      <c r="F34" s="48"/>
      <c r="G34" s="47">
        <v>4.3133999999999997</v>
      </c>
      <c r="H34" s="48">
        <v>251330</v>
      </c>
      <c r="I34" s="47">
        <v>52.6</v>
      </c>
      <c r="J34" s="48">
        <v>10459500</v>
      </c>
      <c r="K34" s="48"/>
      <c r="L34" s="47">
        <v>59.2</v>
      </c>
      <c r="M34" s="48">
        <v>36430</v>
      </c>
    </row>
    <row r="35" spans="1:13" ht="13.5" customHeight="1" thickBot="1" x14ac:dyDescent="0.3">
      <c r="A35" s="49" t="s">
        <v>63</v>
      </c>
      <c r="B35" s="50"/>
      <c r="C35" s="50"/>
      <c r="D35" s="47">
        <v>452.47</v>
      </c>
      <c r="E35" s="48">
        <v>16255405</v>
      </c>
      <c r="F35" s="48"/>
      <c r="G35" s="47">
        <v>23.05</v>
      </c>
      <c r="H35" s="48">
        <v>1603800</v>
      </c>
      <c r="I35" s="51">
        <v>52.6</v>
      </c>
      <c r="J35" s="52">
        <v>9175000</v>
      </c>
      <c r="K35" s="52"/>
      <c r="L35" s="51">
        <v>24.2</v>
      </c>
      <c r="M35" s="52">
        <v>15253</v>
      </c>
    </row>
    <row r="36" spans="1:13" ht="13.5" customHeight="1" thickTop="1" x14ac:dyDescent="0.3">
      <c r="A36" s="53" t="s">
        <v>64</v>
      </c>
      <c r="B36" s="53"/>
      <c r="C36" s="53"/>
      <c r="D36" s="53"/>
      <c r="E36" s="53"/>
      <c r="F36" s="53"/>
      <c r="G36" s="53"/>
      <c r="H36" s="53"/>
      <c r="I36" s="5"/>
      <c r="J36" s="5"/>
      <c r="K36" s="5"/>
      <c r="L36" s="5"/>
      <c r="M36" s="5"/>
    </row>
    <row r="37" spans="1:13" ht="1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" customHeight="1" x14ac:dyDescent="0.3">
      <c r="A39" s="5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5.75" customHeight="1" x14ac:dyDescent="0.25"/>
    <row r="999" spans="1:13" ht="15" customHeight="1" x14ac:dyDescent="0.25"/>
  </sheetData>
  <mergeCells count="17">
    <mergeCell ref="A35:C35"/>
    <mergeCell ref="A34:C34"/>
    <mergeCell ref="A33:C33"/>
    <mergeCell ref="A32:C32"/>
    <mergeCell ref="A10:C10"/>
    <mergeCell ref="I7:J7"/>
    <mergeCell ref="L7:M7"/>
    <mergeCell ref="D6:E6"/>
    <mergeCell ref="G6:H6"/>
    <mergeCell ref="I6:M6"/>
    <mergeCell ref="A5:C9"/>
    <mergeCell ref="D5:M5"/>
    <mergeCell ref="D4:M4"/>
    <mergeCell ref="D3:M3"/>
    <mergeCell ref="D2:M2"/>
    <mergeCell ref="A1:B1"/>
    <mergeCell ref="D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2025-07-14T07:32:25Z</dcterms:created>
  <dcterms:modified xsi:type="dcterms:W3CDTF">2025-07-14T07:32:44Z</dcterms:modified>
</cp:coreProperties>
</file>