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E1C7CD6-1416-4042-8735-D277FB599641}" xr6:coauthVersionLast="47" xr6:coauthVersionMax="47" xr10:uidLastSave="{00000000-0000-0000-0000-000000000000}"/>
  <bookViews>
    <workbookView xWindow="28680" yWindow="-120" windowWidth="29040" windowHeight="15720" xr2:uid="{50646EDB-9985-43DD-AA37-811C07520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C26" i="1"/>
  <c r="I25" i="1"/>
  <c r="F25" i="1"/>
  <c r="J24" i="1"/>
  <c r="I24" i="1"/>
  <c r="F24" i="1"/>
  <c r="D24" i="1"/>
  <c r="J23" i="1"/>
  <c r="I23" i="1"/>
  <c r="F23" i="1"/>
  <c r="D23" i="1"/>
  <c r="J22" i="1"/>
  <c r="I22" i="1"/>
  <c r="J21" i="1"/>
  <c r="I21" i="1"/>
  <c r="F21" i="1"/>
  <c r="J20" i="1"/>
  <c r="I20" i="1"/>
  <c r="F20" i="1"/>
  <c r="D20" i="1"/>
  <c r="J19" i="1"/>
  <c r="I19" i="1"/>
  <c r="F19" i="1"/>
  <c r="D19" i="1"/>
  <c r="G18" i="1"/>
  <c r="F18" i="1"/>
  <c r="D18" i="1"/>
  <c r="H17" i="1"/>
  <c r="H26" i="1" s="1"/>
  <c r="G17" i="1"/>
  <c r="F17" i="1"/>
  <c r="D17" i="1"/>
  <c r="F16" i="1"/>
  <c r="D16" i="1"/>
  <c r="F15" i="1"/>
  <c r="D15" i="1"/>
  <c r="F14" i="1"/>
  <c r="D14" i="1"/>
  <c r="G13" i="1"/>
  <c r="F13" i="1"/>
  <c r="D13" i="1"/>
  <c r="G12" i="1"/>
  <c r="F12" i="1"/>
  <c r="E12" i="1"/>
  <c r="D12" i="1"/>
  <c r="G11" i="1"/>
  <c r="F11" i="1"/>
  <c r="D11" i="1"/>
  <c r="G10" i="1"/>
  <c r="F10" i="1"/>
  <c r="E10" i="1"/>
  <c r="D10" i="1"/>
  <c r="F9" i="1"/>
  <c r="E9" i="1"/>
  <c r="D9" i="1"/>
  <c r="F8" i="1"/>
  <c r="D8" i="1"/>
  <c r="F7" i="1"/>
  <c r="D7" i="1"/>
  <c r="F6" i="1"/>
  <c r="D6" i="1"/>
  <c r="D26" i="1" l="1"/>
  <c r="F26" i="1"/>
  <c r="I26" i="1"/>
  <c r="J26" i="1"/>
  <c r="E26" i="1"/>
  <c r="G26" i="1"/>
</calcChain>
</file>

<file path=xl/sharedStrings.xml><?xml version="1.0" encoding="utf-8"?>
<sst xmlns="http://schemas.openxmlformats.org/spreadsheetml/2006/main" count="44" uniqueCount="36">
  <si>
    <t>Tabel 5.3.2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</si>
  <si>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</si>
  <si>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</si>
  <si>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</si>
  <si>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</si>
  <si>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</si>
  <si>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</si>
  <si>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</si>
  <si>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</si>
  <si>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</si>
  <si>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</si>
  <si>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</si>
  <si>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</si>
  <si>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</si>
  <si>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</si>
  <si>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</si>
  <si>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</si>
  <si>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</si>
  <si>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</si>
  <si>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</si>
  <si>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</si>
  <si>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</si>
  <si>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</si>
  <si>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</si>
  <si>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</si>
  <si>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</si>
  <si>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</si>
  <si>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</si>
  <si>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</si>
  <si>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</si>
  <si>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</si>
  <si>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</si>
  <si>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</si>
  <si>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</si>
  <si>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JENIS</t>
  </si>
  <si>
    <t>Produksi Perkebunan Menurut Kecamatan dan Jenis Tanaman (ton),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</si>
</sst>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&quot;(&quot;#&quot;)&quot;"/>
    <numFmt numFmtId="165" formatCode="#&quot;.&quot;"/>
    <numFmt numFmtId="168" formatCode="0.00000"/>
    <numFmt numFmtId="169" formatCode="_(* #,##0_);_(* \(#,##0\);_(* &quot;-&quot;??_);_(@_)"/>
    <numFmt numFmtId="170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2" applyFont="1"/>
    <xf numFmtId="0" fontId="4" fillId="0" borderId="0" xfId="2" applyFont="1" applyAlignment="1">
      <alignment horizontal="right"/>
    </xf>
    <xf numFmtId="0" fontId="0" fillId="0" borderId="0" xfId="2" applyFont="1"/>
    <xf numFmtId="0" fontId="3" fillId="2" borderId="0" xfId="2" applyFont="1" applyFill="1"/>
    <xf numFmtId="0" fontId="4" fillId="0" borderId="0" xfId="0" applyFont="1" applyAlignment="1">
      <alignment horizontal="left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3" fillId="0" borderId="4" xfId="2" applyFont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5" xfId="2" applyNumberFormat="1" applyFont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4" fontId="7" fillId="0" borderId="5" xfId="2" applyNumberFormat="1" applyFont="1" applyBorder="1"/>
    <xf numFmtId="4" fontId="6" fillId="0" borderId="5" xfId="2" applyNumberFormat="1" applyFont="1" applyBorder="1"/>
    <xf numFmtId="168" fontId="7" fillId="0" borderId="0" xfId="2" applyNumberFormat="1" applyFont="1"/>
    <xf numFmtId="0" fontId="7" fillId="0" borderId="0" xfId="2" applyFont="1"/>
    <xf numFmtId="0" fontId="3" fillId="0" borderId="2" xfId="2" applyFont="1" applyBorder="1" applyAlignment="1">
      <alignment horizontal="center"/>
    </xf>
    <xf numFmtId="4" fontId="3" fillId="0" borderId="5" xfId="2" applyNumberFormat="1" applyFont="1" applyBorder="1"/>
    <xf numFmtId="0" fontId="6" fillId="0" borderId="0" xfId="2" applyFont="1"/>
    <xf numFmtId="0" fontId="3" fillId="0" borderId="0" xfId="0" applyFont="1" applyAlignment="1">
      <alignment vertical="center"/>
    </xf>
    <xf numFmtId="0" fontId="3" fillId="0" borderId="2" xfId="2" applyFont="1" applyBorder="1" applyAlignment="1">
      <alignment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2" xfId="2" applyFont="1" applyBorder="1" applyAlignment="1">
      <alignment vertical="center"/>
    </xf>
    <xf numFmtId="169" fontId="0" fillId="0" borderId="0" xfId="1" applyNumberFormat="1" applyFont="1"/>
    <xf numFmtId="169" fontId="0" fillId="0" borderId="0" xfId="1" applyNumberFormat="1" applyFont="1" applyBorder="1"/>
    <xf numFmtId="0" fontId="4" fillId="0" borderId="2" xfId="2" applyFont="1" applyBorder="1" applyAlignment="1">
      <alignment vertical="center"/>
    </xf>
    <xf numFmtId="170" fontId="0" fillId="0" borderId="0" xfId="1" applyNumberFormat="1" applyFont="1"/>
    <xf numFmtId="170" fontId="0" fillId="0" borderId="0" xfId="0" applyNumberFormat="1"/>
    <xf numFmtId="0" fontId="5" fillId="0" borderId="6" xfId="2" applyFont="1" applyBorder="1"/>
    <xf numFmtId="0" fontId="5" fillId="0" borderId="3" xfId="2" applyFont="1" applyBorder="1"/>
    <xf numFmtId="0" fontId="8" fillId="0" borderId="6" xfId="0" applyFont="1" applyBorder="1"/>
  </cellXfs>
  <cellStyles count="4">
    <cellStyle name="Comma" xfId="1" builtinId="3"/>
    <cellStyle name="Comma [0] 2" xfId="3" xr:uid="{39FAE4A4-E1D4-4867-B391-2282EEF4CBD4}"/>
    <cellStyle name="Normal" xfId="0" builtinId="0"/>
    <cellStyle name="Normal 2" xfId="2" xr:uid="{50711D4F-7530-4868-8D58-BA6F9F884E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0F17-E5B2-4EB8-913B-D478904DD7F9}">
  <dimension ref="A1:J70"/>
  <sheetViews>
    <sheetView tabSelected="1" workbookViewId="0">
      <selection activeCell="L11" sqref="L1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10" width="9.77734375" style="3" customWidth="1"/>
    <col min="11" max="16384" width="14.44140625" style="3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3">
      <c r="A2" s="4"/>
      <c r="B2" s="4"/>
      <c r="C2" s="5" t="s">
        <v>35</v>
      </c>
      <c r="D2" s="1"/>
      <c r="E2" s="1"/>
      <c r="F2" s="1"/>
      <c r="G2" s="1"/>
      <c r="H2" s="1"/>
      <c r="I2" s="1"/>
      <c r="J2" s="1"/>
    </row>
    <row r="3" spans="1:10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8" t="s">
        <v>4</v>
      </c>
      <c r="G3" s="7" t="s">
        <v>5</v>
      </c>
      <c r="H3" s="7" t="s">
        <v>6</v>
      </c>
      <c r="I3" s="7" t="s">
        <v>7</v>
      </c>
      <c r="J3" s="7" t="s">
        <v>8</v>
      </c>
    </row>
    <row r="4" spans="1:10" x14ac:dyDescent="0.3">
      <c r="A4" s="9" t="s">
        <v>9</v>
      </c>
      <c r="B4" s="10"/>
      <c r="C4" s="11">
        <v>2021</v>
      </c>
      <c r="D4" s="11">
        <v>2021</v>
      </c>
      <c r="E4" s="11">
        <v>2021</v>
      </c>
      <c r="F4" s="11">
        <v>2021</v>
      </c>
      <c r="G4" s="11">
        <v>2021</v>
      </c>
      <c r="H4" s="11">
        <v>2021</v>
      </c>
      <c r="I4" s="11">
        <v>2021</v>
      </c>
      <c r="J4" s="11">
        <v>2021</v>
      </c>
    </row>
    <row r="5" spans="1:10" x14ac:dyDescent="0.3">
      <c r="A5" s="12">
        <v>1</v>
      </c>
      <c r="B5" s="10"/>
      <c r="C5" s="13">
        <v>4</v>
      </c>
      <c r="D5" s="13">
        <v>7</v>
      </c>
      <c r="E5" s="13">
        <v>10</v>
      </c>
      <c r="F5" s="13">
        <v>13</v>
      </c>
      <c r="G5" s="13">
        <v>16</v>
      </c>
      <c r="H5" s="13">
        <v>19</v>
      </c>
      <c r="I5" s="13">
        <v>22</v>
      </c>
      <c r="J5" s="13">
        <v>25</v>
      </c>
    </row>
    <row r="6" spans="1:10" x14ac:dyDescent="0.3">
      <c r="A6" s="14">
        <v>1</v>
      </c>
      <c r="B6" s="15" t="s">
        <v>10</v>
      </c>
      <c r="C6" s="16">
        <v>0</v>
      </c>
      <c r="D6" s="16">
        <f>3311953.45/1000</f>
        <v>3311.95345</v>
      </c>
      <c r="E6" s="17">
        <v>0</v>
      </c>
      <c r="F6" s="16">
        <f>21839.488/1000</f>
        <v>21.839488000000003</v>
      </c>
      <c r="G6" s="17">
        <v>0</v>
      </c>
      <c r="H6" s="16">
        <v>0</v>
      </c>
      <c r="I6" s="17">
        <v>0</v>
      </c>
      <c r="J6" s="17">
        <v>0</v>
      </c>
    </row>
    <row r="7" spans="1:10" x14ac:dyDescent="0.3">
      <c r="A7" s="14">
        <v>2</v>
      </c>
      <c r="B7" s="15" t="s">
        <v>11</v>
      </c>
      <c r="C7" s="16">
        <v>0</v>
      </c>
      <c r="D7" s="16">
        <f>168997.374/1000</f>
        <v>168.99737400000001</v>
      </c>
      <c r="E7" s="17">
        <v>0</v>
      </c>
      <c r="F7" s="16">
        <f>3833.9115/1000</f>
        <v>3.8339115000000001</v>
      </c>
      <c r="G7" s="17">
        <v>0</v>
      </c>
      <c r="H7" s="16">
        <v>0</v>
      </c>
      <c r="I7" s="17">
        <v>0</v>
      </c>
      <c r="J7" s="17">
        <v>0</v>
      </c>
    </row>
    <row r="8" spans="1:10" x14ac:dyDescent="0.3">
      <c r="A8" s="14">
        <v>3</v>
      </c>
      <c r="B8" s="15" t="s">
        <v>12</v>
      </c>
      <c r="C8" s="16">
        <v>0</v>
      </c>
      <c r="D8" s="16">
        <f>589059.8125/1000</f>
        <v>589.05981250000002</v>
      </c>
      <c r="E8" s="17">
        <v>0</v>
      </c>
      <c r="F8" s="16">
        <f>31910.425/1000</f>
        <v>31.910425</v>
      </c>
      <c r="G8" s="17">
        <v>0</v>
      </c>
      <c r="H8" s="16">
        <v>0</v>
      </c>
      <c r="I8" s="17">
        <v>0</v>
      </c>
      <c r="J8" s="17">
        <v>0</v>
      </c>
    </row>
    <row r="9" spans="1:10" x14ac:dyDescent="0.3">
      <c r="A9" s="14">
        <v>4</v>
      </c>
      <c r="B9" s="15" t="s">
        <v>13</v>
      </c>
      <c r="C9" s="16">
        <v>0</v>
      </c>
      <c r="D9" s="16">
        <f>1485318.89/1000</f>
        <v>1485.31889</v>
      </c>
      <c r="E9" s="16">
        <f>65.45/1000</f>
        <v>6.5450000000000008E-2</v>
      </c>
      <c r="F9" s="16">
        <f>29715/1000</f>
        <v>29.715</v>
      </c>
      <c r="G9" s="17">
        <v>0</v>
      </c>
      <c r="H9" s="16">
        <v>0</v>
      </c>
      <c r="I9" s="17">
        <v>0</v>
      </c>
      <c r="J9" s="17">
        <v>0</v>
      </c>
    </row>
    <row r="10" spans="1:10" x14ac:dyDescent="0.3">
      <c r="A10" s="14">
        <v>5</v>
      </c>
      <c r="B10" s="15" t="s">
        <v>14</v>
      </c>
      <c r="C10" s="16">
        <v>0</v>
      </c>
      <c r="D10" s="16">
        <f>612960.135/1000</f>
        <v>612.96013500000004</v>
      </c>
      <c r="E10" s="16">
        <f>432.55/1000</f>
        <v>0.43254999999999999</v>
      </c>
      <c r="F10" s="16">
        <f>48470.448/1000</f>
        <v>48.470447999999998</v>
      </c>
      <c r="G10" s="16">
        <f>18570.375/1000</f>
        <v>18.570374999999999</v>
      </c>
      <c r="H10" s="16">
        <v>0</v>
      </c>
      <c r="I10" s="17">
        <v>0</v>
      </c>
      <c r="J10" s="17">
        <v>0</v>
      </c>
    </row>
    <row r="11" spans="1:10" x14ac:dyDescent="0.3">
      <c r="A11" s="14">
        <v>6</v>
      </c>
      <c r="B11" s="15" t="s">
        <v>15</v>
      </c>
      <c r="C11" s="16">
        <v>0</v>
      </c>
      <c r="D11" s="16">
        <f>466287.5/1000</f>
        <v>466.28750000000002</v>
      </c>
      <c r="E11" s="17">
        <v>0</v>
      </c>
      <c r="F11" s="16">
        <f>129504.125/1000</f>
        <v>129.50412499999999</v>
      </c>
      <c r="G11" s="16">
        <f>1881.425/1000</f>
        <v>1.8814249999999999</v>
      </c>
      <c r="H11" s="16">
        <v>0</v>
      </c>
      <c r="I11" s="17">
        <v>0</v>
      </c>
      <c r="J11" s="17">
        <v>0</v>
      </c>
    </row>
    <row r="12" spans="1:10" x14ac:dyDescent="0.3">
      <c r="A12" s="14">
        <v>7</v>
      </c>
      <c r="B12" s="15" t="s">
        <v>16</v>
      </c>
      <c r="C12" s="16">
        <v>0</v>
      </c>
      <c r="D12" s="16">
        <f>697372.5465/1000</f>
        <v>697.3725465</v>
      </c>
      <c r="E12" s="16">
        <f>166.5125/1000</f>
        <v>0.16651249999999998</v>
      </c>
      <c r="F12" s="16">
        <f>53851.5/1000</f>
        <v>53.851500000000001</v>
      </c>
      <c r="G12" s="16">
        <f>277.3398/1000</f>
        <v>0.27733980000000003</v>
      </c>
      <c r="H12" s="16">
        <v>0</v>
      </c>
      <c r="I12" s="17">
        <v>0</v>
      </c>
      <c r="J12" s="17">
        <v>0</v>
      </c>
    </row>
    <row r="13" spans="1:10" x14ac:dyDescent="0.3">
      <c r="A13" s="14">
        <v>8</v>
      </c>
      <c r="B13" s="15" t="s">
        <v>17</v>
      </c>
      <c r="C13" s="16">
        <v>0</v>
      </c>
      <c r="D13" s="16">
        <f>300581.3965/1000</f>
        <v>300.58139649999998</v>
      </c>
      <c r="E13" s="17">
        <v>0</v>
      </c>
      <c r="F13" s="16">
        <f>47045.0945/1000</f>
        <v>47.045094499999998</v>
      </c>
      <c r="G13" s="16">
        <f>189.275/1000</f>
        <v>0.189275</v>
      </c>
      <c r="H13" s="16">
        <v>0</v>
      </c>
      <c r="I13" s="17">
        <v>0</v>
      </c>
      <c r="J13" s="17">
        <v>0</v>
      </c>
    </row>
    <row r="14" spans="1:10" x14ac:dyDescent="0.3">
      <c r="A14" s="14">
        <v>9</v>
      </c>
      <c r="B14" s="15" t="s">
        <v>18</v>
      </c>
      <c r="C14" s="16">
        <v>0</v>
      </c>
      <c r="D14" s="16">
        <f>1359792.8025/1000</f>
        <v>1359.7928024999999</v>
      </c>
      <c r="E14" s="17">
        <v>0</v>
      </c>
      <c r="F14" s="16">
        <f>42094.5/1000</f>
        <v>42.094499999999996</v>
      </c>
      <c r="G14" s="17">
        <v>0</v>
      </c>
      <c r="H14" s="16">
        <v>0</v>
      </c>
      <c r="I14" s="17">
        <v>0</v>
      </c>
      <c r="J14" s="17">
        <v>0</v>
      </c>
    </row>
    <row r="15" spans="1:10" x14ac:dyDescent="0.3">
      <c r="A15" s="14">
        <v>10</v>
      </c>
      <c r="B15" s="15" t="s">
        <v>19</v>
      </c>
      <c r="C15" s="16">
        <v>0</v>
      </c>
      <c r="D15" s="16">
        <f>1576530.0342/1000</f>
        <v>1576.5300342</v>
      </c>
      <c r="E15" s="17">
        <v>0</v>
      </c>
      <c r="F15" s="16">
        <f>65164.0275/1000</f>
        <v>65.164027500000003</v>
      </c>
      <c r="G15" s="17">
        <v>0</v>
      </c>
      <c r="H15" s="16">
        <v>0</v>
      </c>
      <c r="I15" s="17">
        <v>0</v>
      </c>
      <c r="J15" s="17">
        <v>0</v>
      </c>
    </row>
    <row r="16" spans="1:10" x14ac:dyDescent="0.3">
      <c r="A16" s="14">
        <v>11</v>
      </c>
      <c r="B16" s="15" t="s">
        <v>20</v>
      </c>
      <c r="C16" s="16">
        <v>0</v>
      </c>
      <c r="D16" s="16">
        <f>488042.25/1000</f>
        <v>488.04225000000002</v>
      </c>
      <c r="E16" s="17">
        <v>0</v>
      </c>
      <c r="F16" s="16">
        <f>63375/1000</f>
        <v>63.375</v>
      </c>
      <c r="G16" s="17">
        <v>0</v>
      </c>
      <c r="H16" s="16">
        <v>0</v>
      </c>
      <c r="I16" s="17">
        <v>0</v>
      </c>
      <c r="J16" s="17">
        <v>0</v>
      </c>
    </row>
    <row r="17" spans="1:10" x14ac:dyDescent="0.3">
      <c r="A17" s="14">
        <v>12</v>
      </c>
      <c r="B17" s="15" t="s">
        <v>21</v>
      </c>
      <c r="C17" s="16">
        <v>0</v>
      </c>
      <c r="D17" s="16">
        <f>1062735.375/1000</f>
        <v>1062.735375</v>
      </c>
      <c r="E17" s="17">
        <v>0</v>
      </c>
      <c r="F17" s="16">
        <f>6896.211/1000</f>
        <v>6.8962110000000001</v>
      </c>
      <c r="G17" s="16">
        <f>943.8528/1000</f>
        <v>0.94385280000000005</v>
      </c>
      <c r="H17" s="16">
        <f>427/1000</f>
        <v>0.42699999999999999</v>
      </c>
      <c r="I17" s="17">
        <v>0</v>
      </c>
      <c r="J17" s="17">
        <v>0</v>
      </c>
    </row>
    <row r="18" spans="1:10" x14ac:dyDescent="0.3">
      <c r="A18" s="14">
        <v>13</v>
      </c>
      <c r="B18" s="15" t="s">
        <v>22</v>
      </c>
      <c r="C18" s="16">
        <v>0</v>
      </c>
      <c r="D18" s="16">
        <f>1004360/1000</f>
        <v>1004.36</v>
      </c>
      <c r="E18" s="17">
        <v>0</v>
      </c>
      <c r="F18" s="18">
        <f>140747.15/1000</f>
        <v>140.74715</v>
      </c>
      <c r="G18" s="16">
        <f>1011.1/1000</f>
        <v>1.0111000000000001</v>
      </c>
      <c r="H18" s="17">
        <v>0</v>
      </c>
      <c r="I18" s="17">
        <v>0</v>
      </c>
      <c r="J18" s="17">
        <v>0</v>
      </c>
    </row>
    <row r="19" spans="1:10" x14ac:dyDescent="0.3">
      <c r="A19" s="14">
        <v>14</v>
      </c>
      <c r="B19" s="15" t="s">
        <v>23</v>
      </c>
      <c r="C19" s="16">
        <v>0</v>
      </c>
      <c r="D19" s="16">
        <f>4718.3061/1000</f>
        <v>4.7183060999999995</v>
      </c>
      <c r="E19" s="17">
        <v>0</v>
      </c>
      <c r="F19" s="16">
        <f>206866.45/1000</f>
        <v>206.86645000000001</v>
      </c>
      <c r="G19" s="17">
        <v>0</v>
      </c>
      <c r="H19" s="17">
        <v>0</v>
      </c>
      <c r="I19" s="16">
        <f>143424.6/1000</f>
        <v>143.4246</v>
      </c>
      <c r="J19" s="16">
        <f>930/1000</f>
        <v>0.93</v>
      </c>
    </row>
    <row r="20" spans="1:10" x14ac:dyDescent="0.3">
      <c r="A20" s="14">
        <v>15</v>
      </c>
      <c r="B20" s="15" t="s">
        <v>24</v>
      </c>
      <c r="C20" s="16">
        <v>0</v>
      </c>
      <c r="D20" s="16">
        <f>52064.25/1000</f>
        <v>52.064250000000001</v>
      </c>
      <c r="E20" s="17">
        <v>0</v>
      </c>
      <c r="F20" s="16">
        <f>17829.8625/1000</f>
        <v>17.829862500000001</v>
      </c>
      <c r="G20" s="17">
        <v>0</v>
      </c>
      <c r="H20" s="17">
        <v>0</v>
      </c>
      <c r="I20" s="16">
        <f>20987.4375/1000</f>
        <v>20.987437499999999</v>
      </c>
      <c r="J20" s="16">
        <f>49500/1000</f>
        <v>49.5</v>
      </c>
    </row>
    <row r="21" spans="1:10" x14ac:dyDescent="0.3">
      <c r="A21" s="14">
        <v>16</v>
      </c>
      <c r="B21" s="15" t="s">
        <v>25</v>
      </c>
      <c r="C21" s="16">
        <v>0</v>
      </c>
      <c r="D21" s="16">
        <v>0</v>
      </c>
      <c r="E21" s="17">
        <v>0</v>
      </c>
      <c r="F21" s="16">
        <f>104464.8/1000</f>
        <v>104.4648</v>
      </c>
      <c r="G21" s="17">
        <v>0</v>
      </c>
      <c r="H21" s="17">
        <v>0</v>
      </c>
      <c r="I21" s="16">
        <f>11520.375/1000</f>
        <v>11.520375</v>
      </c>
      <c r="J21" s="16">
        <f>193600/1000</f>
        <v>193.6</v>
      </c>
    </row>
    <row r="22" spans="1:10" x14ac:dyDescent="0.3">
      <c r="A22" s="14">
        <v>17</v>
      </c>
      <c r="B22" s="15" t="s">
        <v>26</v>
      </c>
      <c r="C22" s="16">
        <v>0</v>
      </c>
      <c r="D22" s="16">
        <v>0</v>
      </c>
      <c r="E22" s="17">
        <v>0</v>
      </c>
      <c r="F22" s="16">
        <v>0</v>
      </c>
      <c r="G22" s="17">
        <v>0</v>
      </c>
      <c r="H22" s="17">
        <v>0</v>
      </c>
      <c r="I22" s="16">
        <f>3300.64/1000</f>
        <v>3.30064</v>
      </c>
      <c r="J22" s="16">
        <f>11450/1000</f>
        <v>11.45</v>
      </c>
    </row>
    <row r="23" spans="1:10" x14ac:dyDescent="0.3">
      <c r="A23" s="14">
        <v>18</v>
      </c>
      <c r="B23" s="15" t="s">
        <v>27</v>
      </c>
      <c r="C23" s="16">
        <v>0</v>
      </c>
      <c r="D23" s="16">
        <f>9283.675/1000</f>
        <v>9.2836749999999988</v>
      </c>
      <c r="E23" s="17">
        <v>0</v>
      </c>
      <c r="F23" s="16">
        <f>70799.0715/1000</f>
        <v>70.799071500000011</v>
      </c>
      <c r="G23" s="17">
        <v>0</v>
      </c>
      <c r="H23" s="17">
        <v>0</v>
      </c>
      <c r="I23" s="16">
        <f>1023521.25/1000</f>
        <v>1023.52125</v>
      </c>
      <c r="J23" s="16">
        <f>3750/1000</f>
        <v>3.75</v>
      </c>
    </row>
    <row r="24" spans="1:10" x14ac:dyDescent="0.3">
      <c r="A24" s="14">
        <v>19</v>
      </c>
      <c r="B24" s="15" t="s">
        <v>28</v>
      </c>
      <c r="C24" s="16">
        <v>0</v>
      </c>
      <c r="D24" s="16">
        <f>5519.08/1000</f>
        <v>5.5190799999999998</v>
      </c>
      <c r="E24" s="17">
        <v>0</v>
      </c>
      <c r="F24" s="16">
        <f>301340.1105/1000</f>
        <v>301.34011050000004</v>
      </c>
      <c r="G24" s="17">
        <v>0</v>
      </c>
      <c r="H24" s="17">
        <v>0</v>
      </c>
      <c r="I24" s="16">
        <f>1194228/1000</f>
        <v>1194.2280000000001</v>
      </c>
      <c r="J24" s="16">
        <f>9800/1000</f>
        <v>9.8000000000000007</v>
      </c>
    </row>
    <row r="25" spans="1:10" x14ac:dyDescent="0.3">
      <c r="A25" s="14">
        <v>20</v>
      </c>
      <c r="B25" s="15" t="s">
        <v>29</v>
      </c>
      <c r="C25" s="16">
        <v>0</v>
      </c>
      <c r="D25" s="16">
        <v>0</v>
      </c>
      <c r="E25" s="17">
        <v>0</v>
      </c>
      <c r="F25" s="16">
        <f>99643.752/1000</f>
        <v>99.643751999999992</v>
      </c>
      <c r="G25" s="17">
        <v>0</v>
      </c>
      <c r="H25" s="17">
        <v>0</v>
      </c>
      <c r="I25" s="16">
        <f>233251.8875/1000</f>
        <v>233.25188750000001</v>
      </c>
      <c r="J25" s="17">
        <v>0</v>
      </c>
    </row>
    <row r="26" spans="1:10" x14ac:dyDescent="0.3">
      <c r="A26" s="20" t="s">
        <v>30</v>
      </c>
      <c r="B26" s="10"/>
      <c r="C26" s="21">
        <f t="shared" ref="C26:J26" si="0">SUM(C6:C25)</f>
        <v>0</v>
      </c>
      <c r="D26" s="21">
        <f t="shared" si="0"/>
        <v>13195.5768773</v>
      </c>
      <c r="E26" s="21">
        <f t="shared" si="0"/>
        <v>0.66451249999999995</v>
      </c>
      <c r="F26" s="21">
        <f t="shared" si="0"/>
        <v>1485.3909269999999</v>
      </c>
      <c r="G26" s="21">
        <f t="shared" si="0"/>
        <v>22.873367599999995</v>
      </c>
      <c r="H26" s="21">
        <f t="shared" si="0"/>
        <v>0.42699999999999999</v>
      </c>
      <c r="I26" s="21">
        <f t="shared" si="0"/>
        <v>2630.2341900000001</v>
      </c>
      <c r="J26" s="21">
        <f t="shared" si="0"/>
        <v>269.03000000000003</v>
      </c>
    </row>
    <row r="27" spans="1:10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spans="1:10" x14ac:dyDescent="0.3">
      <c r="A28" s="22" t="s">
        <v>31</v>
      </c>
      <c r="B28" s="19"/>
      <c r="C28" s="19"/>
      <c r="D28" s="19"/>
      <c r="E28" s="19"/>
      <c r="F28" s="19"/>
      <c r="G28" s="19"/>
      <c r="H28" s="19"/>
      <c r="I28" s="19"/>
      <c r="J28" s="19"/>
    </row>
    <row r="29" spans="1:10" x14ac:dyDescent="0.3">
      <c r="A29" s="22" t="s">
        <v>32</v>
      </c>
      <c r="B29" s="19"/>
      <c r="C29" s="19"/>
      <c r="D29" s="19"/>
      <c r="E29" s="19"/>
      <c r="F29" s="19"/>
      <c r="G29" s="19"/>
      <c r="H29" s="19"/>
      <c r="I29" s="19"/>
      <c r="J29" s="19"/>
    </row>
    <row r="30" spans="1:10" x14ac:dyDescent="0.3">
      <c r="A30" s="19"/>
      <c r="B30" s="22" t="s">
        <v>33</v>
      </c>
      <c r="C30" s="19"/>
    </row>
    <row r="31" spans="1:10" ht="30" customHeight="1" x14ac:dyDescent="0.3">
      <c r="A31" s="6"/>
      <c r="B31" s="6"/>
      <c r="C31" s="23"/>
    </row>
    <row r="32" spans="1:10" ht="14.55" customHeight="1" x14ac:dyDescent="0.3">
      <c r="B32" s="24" t="s">
        <v>34</v>
      </c>
      <c r="C32" s="25">
        <v>2021</v>
      </c>
    </row>
    <row r="33" spans="2:3" s="28" customFormat="1" x14ac:dyDescent="0.3">
      <c r="B33" s="26" t="s">
        <v>1</v>
      </c>
      <c r="C33" s="27">
        <v>0</v>
      </c>
    </row>
    <row r="34" spans="2:3" ht="15" customHeight="1" x14ac:dyDescent="0.3">
      <c r="B34" s="29" t="s">
        <v>2</v>
      </c>
      <c r="C34" s="27">
        <v>13195.5768773</v>
      </c>
    </row>
    <row r="35" spans="2:3" ht="12.6" customHeight="1" x14ac:dyDescent="0.3">
      <c r="B35" s="26" t="s">
        <v>3</v>
      </c>
      <c r="C35" s="30">
        <v>0.66451249999999995</v>
      </c>
    </row>
    <row r="36" spans="2:3" ht="12.6" customHeight="1" x14ac:dyDescent="0.3">
      <c r="B36" s="29" t="s">
        <v>4</v>
      </c>
      <c r="C36" s="27">
        <v>1485.3909269999999</v>
      </c>
    </row>
    <row r="37" spans="2:3" x14ac:dyDescent="0.3">
      <c r="B37" s="26" t="s">
        <v>5</v>
      </c>
      <c r="C37" s="27">
        <v>22.873367599999995</v>
      </c>
    </row>
    <row r="38" spans="2:3" ht="12.6" customHeight="1" x14ac:dyDescent="0.3">
      <c r="B38" s="26" t="s">
        <v>6</v>
      </c>
      <c r="C38" s="27">
        <v>0.42699999999999999</v>
      </c>
    </row>
    <row r="39" spans="2:3" ht="12.6" customHeight="1" x14ac:dyDescent="0.3">
      <c r="B39" s="26" t="s">
        <v>7</v>
      </c>
      <c r="C39" s="27">
        <v>2630.2341900000001</v>
      </c>
    </row>
    <row r="40" spans="2:3" ht="12.6" customHeight="1" x14ac:dyDescent="0.3">
      <c r="B40" s="26" t="s">
        <v>8</v>
      </c>
      <c r="C40" s="27">
        <v>269.03000000000003</v>
      </c>
    </row>
    <row r="41" spans="2:3" x14ac:dyDescent="0.3">
      <c r="C41" s="31">
        <f t="shared" ref="C41" si="1">SUM(C35:C40)</f>
        <v>4408.6199970999996</v>
      </c>
    </row>
    <row r="43" spans="2:3" ht="12.6" customHeight="1" x14ac:dyDescent="0.3"/>
    <row r="44" spans="2:3" ht="12.6" customHeight="1" x14ac:dyDescent="0.3"/>
    <row r="45" spans="2:3" ht="12.6" customHeight="1" x14ac:dyDescent="0.3"/>
    <row r="46" spans="2:3" x14ac:dyDescent="0.3">
      <c r="B46" s="32"/>
    </row>
    <row r="47" spans="2:3" x14ac:dyDescent="0.3">
      <c r="B47" s="33"/>
    </row>
    <row r="48" spans="2:3" ht="12.6" customHeight="1" x14ac:dyDescent="0.3">
      <c r="B48" s="34"/>
    </row>
    <row r="49" spans="2:2" ht="12.6" customHeight="1" x14ac:dyDescent="0.3">
      <c r="B49" s="34"/>
    </row>
    <row r="50" spans="2:2" ht="12.6" customHeight="1" x14ac:dyDescent="0.3"/>
    <row r="51" spans="2:2" x14ac:dyDescent="0.3">
      <c r="B51" s="32"/>
    </row>
    <row r="52" spans="2:2" x14ac:dyDescent="0.3">
      <c r="B52" s="33"/>
    </row>
    <row r="53" spans="2:2" ht="12.6" customHeight="1" x14ac:dyDescent="0.3">
      <c r="B53" s="34"/>
    </row>
    <row r="54" spans="2:2" ht="12.6" customHeight="1" x14ac:dyDescent="0.3">
      <c r="B54" s="34"/>
    </row>
    <row r="55" spans="2:2" ht="12.6" customHeight="1" x14ac:dyDescent="0.3"/>
    <row r="56" spans="2:2" x14ac:dyDescent="0.3">
      <c r="B56" s="32"/>
    </row>
    <row r="57" spans="2:2" x14ac:dyDescent="0.3">
      <c r="B57" s="33"/>
    </row>
    <row r="58" spans="2:2" ht="12.6" customHeight="1" x14ac:dyDescent="0.3">
      <c r="B58" s="34"/>
    </row>
    <row r="59" spans="2:2" ht="12.6" customHeight="1" x14ac:dyDescent="0.3">
      <c r="B59" s="34"/>
    </row>
    <row r="60" spans="2:2" ht="12.6" customHeight="1" x14ac:dyDescent="0.3"/>
    <row r="63" spans="2:2" ht="12.6" customHeight="1" x14ac:dyDescent="0.3"/>
    <row r="64" spans="2:2" ht="12.6" customHeight="1" x14ac:dyDescent="0.3"/>
    <row r="65" spans="2:2" ht="12.6" customHeight="1" x14ac:dyDescent="0.3"/>
    <row r="68" spans="2:2" ht="12.6" customHeight="1" x14ac:dyDescent="0.3">
      <c r="B68" s="32"/>
    </row>
    <row r="69" spans="2:2" ht="12.6" customHeight="1" x14ac:dyDescent="0.3">
      <c r="B69" s="33"/>
    </row>
    <row r="70" spans="2:2" ht="12.6" customHeight="1" x14ac:dyDescent="0.3"/>
  </sheetData>
  <mergeCells count="3">
    <mergeCell ref="A4:B4"/>
    <mergeCell ref="A5:B5"/>
    <mergeCell ref="A26:B26"/>
  </mergeCells>
  <conditionalFormatting sqref="C33:C4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2025-07-10T03:23:42Z</dcterms:created>
  <dcterms:modified xsi:type="dcterms:W3CDTF">2025-07-10T03:24:29Z</dcterms:modified>
</cp:coreProperties>
</file>