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F129AEA-42C3-47AA-B8FF-7CC854B97400}" xr6:coauthVersionLast="47" xr6:coauthVersionMax="47" xr10:uidLastSave="{00000000-0000-0000-0000-000000000000}"/>
  <bookViews>
    <workbookView xWindow="28680" yWindow="-120" windowWidth="29040" windowHeight="15720" xr2:uid="{8CD0A6B8-A596-4FD8-BBDC-4452B7FAA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G31" i="1"/>
  <c r="F31" i="1"/>
  <c r="E31" i="1"/>
  <c r="D31" i="1"/>
</calcChain>
</file>

<file path=xl/sharedStrings.xml><?xml version="1.0" encoding="utf-8"?>
<sst xmlns="http://schemas.openxmlformats.org/spreadsheetml/2006/main" count="79" uniqueCount="71">
  <si>
    <t xml:space="preserve">Distribusi Produksi Perikanan Hasil Obyek Pembenihan Ikan </t>
  </si>
  <si>
    <t>Tabel : 5.6.6</t>
  </si>
  <si>
    <t>Table</t>
  </si>
  <si>
    <t>dan Hasil Obyek Pembesaran Ikan  Menurut Kecamatan</t>
  </si>
  <si>
    <t xml:space="preserve"> Di Kab. Banjarnegara Tahun 2022</t>
  </si>
  <si>
    <t>Distribution of Production of Fish from Result of Seeding Fish</t>
  </si>
  <si>
    <t>by Subdistrict in Banjarnegara 2022</t>
  </si>
  <si>
    <t>Hasil Obyek Pembenihan Ikan</t>
  </si>
  <si>
    <t>Hasil Obyek Pembesaran Ikan</t>
  </si>
  <si>
    <r>
      <rPr>
        <sz val="11"/>
        <color theme="1"/>
        <rFont val="Calibri"/>
        <family val="2"/>
      </rPr>
      <t xml:space="preserve">Kecamatan           </t>
    </r>
    <r>
      <rPr>
        <i/>
        <sz val="11"/>
        <color theme="1"/>
        <rFont val="Calibri"/>
        <family val="2"/>
      </rPr>
      <t>Subdistrict</t>
    </r>
  </si>
  <si>
    <t>Produksi</t>
  </si>
  <si>
    <t>Dipelihara</t>
  </si>
  <si>
    <t>Dijual ke</t>
  </si>
  <si>
    <t>Keperluan</t>
  </si>
  <si>
    <t>Sendiri</t>
  </si>
  <si>
    <t>Lain Daerah</t>
  </si>
  <si>
    <t>(Ekor)</t>
  </si>
  <si>
    <t>(Kg)</t>
  </si>
  <si>
    <t>(1)</t>
  </si>
  <si>
    <t>(2)</t>
  </si>
  <si>
    <t>(3)</t>
  </si>
  <si>
    <t>(4)</t>
  </si>
  <si>
    <t>(5)</t>
  </si>
  <si>
    <t>(6)</t>
  </si>
  <si>
    <t>(7)</t>
  </si>
  <si>
    <t>01.</t>
  </si>
  <si>
    <t>Susukan</t>
  </si>
  <si>
    <t>02.</t>
  </si>
  <si>
    <t>Purworejo Klp.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</si>
  <si>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</si>
  <si>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</si>
  <si>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</si>
  <si>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</si>
  <si>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</si>
  <si>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</si>
  <si>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</si>
  <si>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</si>
  <si>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</si>
  <si>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</si>
  <si>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</si>
  <si>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</si>
  <si>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</si>
  <si>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</si>
  <si>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</si>
  <si>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</si>
  <si>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</si>
  <si>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</si>
  <si>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</si>
  <si>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</si>
  <si>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</si>
  <si>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</si>
  <si>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</si>
  <si>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</si>
  <si>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</si>
  <si>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</si>
  <si>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</si>
  <si>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</si>
  <si>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</si>
  <si>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</si>
  <si>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</si>
  <si>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</si>
  <si>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</si>
  <si>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</si>
  <si>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</si>
  <si>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</si>
  <si>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</si>
  <si>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2018</t>
  </si>
  <si>
    <t>Tahun 2019</t>
  </si>
  <si>
    <t>Tahun 2020</t>
  </si>
  <si>
    <t>Tahun 2021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</si>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</sst>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-* #,##0.00_-;\-* #,##0.00_-;_-* &quot;-&quot;_-;_-@"/>
    <numFmt numFmtId="168" formatCode="_-* #,##0_-;\-* #,##0_-;_-* &quot;-&quot;_-;_-@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0" xfId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 shrinkToFit="1"/>
    </xf>
    <xf numFmtId="165" fontId="4" fillId="0" borderId="0" xfId="1" applyNumberFormat="1" applyFont="1"/>
    <xf numFmtId="165" fontId="7" fillId="0" borderId="0" xfId="1" applyNumberFormat="1" applyFont="1" applyAlignment="1">
      <alignment vertical="top"/>
    </xf>
    <xf numFmtId="165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7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/>
    <xf numFmtId="165" fontId="4" fillId="0" borderId="2" xfId="1" applyNumberFormat="1" applyFont="1" applyBorder="1" applyAlignment="1">
      <alignment horizontal="center" vertical="center"/>
    </xf>
    <xf numFmtId="0" fontId="8" fillId="0" borderId="2" xfId="1" applyFont="1" applyBorder="1"/>
    <xf numFmtId="165" fontId="4" fillId="0" borderId="0" xfId="1" applyNumberFormat="1" applyFont="1" applyAlignment="1">
      <alignment horizontal="center" vertical="center"/>
    </xf>
    <xf numFmtId="165" fontId="4" fillId="0" borderId="3" xfId="1" applyNumberFormat="1" applyFont="1" applyBorder="1" applyAlignment="1">
      <alignment horizontal="center" vertical="center"/>
    </xf>
    <xf numFmtId="0" fontId="8" fillId="0" borderId="4" xfId="1" applyFont="1" applyBorder="1"/>
    <xf numFmtId="165" fontId="4" fillId="0" borderId="0" xfId="1" applyNumberFormat="1" applyFont="1" applyAlignment="1">
      <alignment horizontal="center" vertical="center" wrapText="1"/>
    </xf>
    <xf numFmtId="165" fontId="4" fillId="0" borderId="5" xfId="1" quotePrefix="1" applyNumberFormat="1" applyFont="1" applyBorder="1" applyAlignment="1">
      <alignment horizontal="center" vertical="center"/>
    </xf>
    <xf numFmtId="0" fontId="8" fillId="0" borderId="5" xfId="1" applyFont="1" applyBorder="1"/>
    <xf numFmtId="165" fontId="4" fillId="0" borderId="5" xfId="1" quotePrefix="1" applyNumberFormat="1" applyFont="1" applyBorder="1" applyAlignment="1">
      <alignment horizontal="center" vertical="center"/>
    </xf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8" fontId="4" fillId="0" borderId="0" xfId="1" applyNumberFormat="1" applyFont="1" applyAlignment="1">
      <alignment horizontal="right"/>
    </xf>
    <xf numFmtId="165" fontId="3" fillId="2" borderId="5" xfId="1" applyNumberFormat="1" applyFont="1" applyFill="1" applyBorder="1" applyAlignment="1">
      <alignment horizontal="center" vertical="center"/>
    </xf>
    <xf numFmtId="165" fontId="3" fillId="2" borderId="3" xfId="1" applyNumberFormat="1" applyFont="1" applyFill="1" applyBorder="1" applyAlignment="1">
      <alignment horizontal="left" vertical="center"/>
    </xf>
    <xf numFmtId="0" fontId="8" fillId="0" borderId="3" xfId="1" applyFont="1" applyBorder="1"/>
    <xf numFmtId="165" fontId="4" fillId="0" borderId="3" xfId="1" applyNumberFormat="1" applyFont="1" applyBorder="1" applyAlignment="1">
      <alignment horizontal="center" vertical="center"/>
    </xf>
    <xf numFmtId="165" fontId="4" fillId="0" borderId="3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165" fontId="4" fillId="0" borderId="6" xfId="1" applyNumberFormat="1" applyFont="1" applyBorder="1" applyAlignment="1">
      <alignment horizontal="center" vertical="center"/>
    </xf>
    <xf numFmtId="0" fontId="8" fillId="0" borderId="6" xfId="1" applyFont="1" applyBorder="1"/>
    <xf numFmtId="165" fontId="4" fillId="0" borderId="6" xfId="1" applyNumberFormat="1" applyFont="1" applyBorder="1" applyAlignment="1">
      <alignment horizontal="left" vertical="center"/>
    </xf>
    <xf numFmtId="165" fontId="4" fillId="0" borderId="1" xfId="1" applyNumberFormat="1" applyFont="1" applyBorder="1"/>
    <xf numFmtId="0" fontId="4" fillId="0" borderId="0" xfId="1" applyFont="1" applyAlignment="1">
      <alignment vertical="top"/>
    </xf>
  </cellXfs>
  <cellStyles count="3">
    <cellStyle name="Comma [0] 2 2" xfId="2" xr:uid="{2FC91D33-8C61-4D32-AA60-9E87534E7CB5}"/>
    <cellStyle name="Normal" xfId="0" builtinId="0"/>
    <cellStyle name="Normal 4" xfId="1" xr:uid="{FD68F91D-26E3-47AE-8771-8CBCEF65EA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B64D-BFE7-43FF-8A25-EB3F201A361E}">
  <dimension ref="A1:I999"/>
  <sheetViews>
    <sheetView tabSelected="1" workbookViewId="0">
      <selection activeCell="C1" sqref="C1:I1"/>
    </sheetView>
  </sheetViews>
  <sheetFormatPr defaultColWidth="14.44140625" defaultRowHeight="13.2" x14ac:dyDescent="0.25"/>
  <cols>
    <col min="1" max="1" width="3.21875" style="4" customWidth="1"/>
    <col min="2" max="2" width="8.77734375" style="4" customWidth="1"/>
    <col min="3" max="3" width="7.21875" style="4" customWidth="1"/>
    <col min="4" max="6" width="16.77734375" style="4" customWidth="1"/>
    <col min="7" max="9" width="14.21875" style="4" customWidth="1"/>
    <col min="10" max="16384" width="14.44140625" style="4"/>
  </cols>
  <sheetData>
    <row r="1" spans="1:9" ht="14.4" x14ac:dyDescent="0.3">
      <c r="A1" s="5" t="s">
        <v>1</v>
      </c>
      <c r="B1" s="1"/>
      <c r="C1" s="6" t="s">
        <v>0</v>
      </c>
      <c r="D1" s="1"/>
      <c r="E1" s="1"/>
      <c r="F1" s="1"/>
      <c r="G1" s="1"/>
      <c r="H1" s="1"/>
      <c r="I1" s="1"/>
    </row>
    <row r="2" spans="1:9" ht="14.4" x14ac:dyDescent="0.3">
      <c r="A2" s="8" t="s">
        <v>2</v>
      </c>
      <c r="B2" s="9"/>
      <c r="C2" s="10" t="s">
        <v>3</v>
      </c>
      <c r="D2" s="1"/>
      <c r="E2" s="1"/>
      <c r="F2" s="1"/>
      <c r="G2" s="1"/>
      <c r="H2" s="1"/>
      <c r="I2" s="1"/>
    </row>
    <row r="3" spans="1:9" ht="14.4" x14ac:dyDescent="0.3">
      <c r="A3" s="9"/>
      <c r="B3" s="9"/>
      <c r="C3" s="10" t="s">
        <v>4</v>
      </c>
      <c r="D3" s="1"/>
      <c r="E3" s="1"/>
      <c r="F3" s="1"/>
      <c r="G3" s="1"/>
      <c r="H3" s="1"/>
      <c r="I3" s="1"/>
    </row>
    <row r="4" spans="1:9" ht="14.4" x14ac:dyDescent="0.3">
      <c r="A4" s="9"/>
      <c r="B4" s="9"/>
      <c r="C4" s="11" t="s">
        <v>5</v>
      </c>
      <c r="D4" s="1"/>
      <c r="E4" s="1"/>
      <c r="F4" s="1"/>
      <c r="G4" s="1"/>
      <c r="H4" s="1"/>
      <c r="I4" s="1"/>
    </row>
    <row r="5" spans="1:9" ht="15" thickBot="1" x14ac:dyDescent="0.35">
      <c r="A5" s="7"/>
      <c r="B5" s="7"/>
      <c r="C5" s="11" t="s">
        <v>6</v>
      </c>
      <c r="D5" s="1"/>
      <c r="E5" s="1"/>
      <c r="F5" s="1"/>
      <c r="G5" s="1"/>
      <c r="H5" s="1"/>
      <c r="I5" s="1"/>
    </row>
    <row r="6" spans="1:9" ht="15" thickTop="1" x14ac:dyDescent="0.3">
      <c r="A6" s="12" t="s">
        <v>9</v>
      </c>
      <c r="B6" s="13"/>
      <c r="C6" s="13"/>
      <c r="D6" s="14" t="s">
        <v>7</v>
      </c>
      <c r="E6" s="15"/>
      <c r="F6" s="15"/>
      <c r="G6" s="14" t="s">
        <v>8</v>
      </c>
      <c r="H6" s="15"/>
      <c r="I6" s="15"/>
    </row>
    <row r="7" spans="1:9" ht="14.4" x14ac:dyDescent="0.25">
      <c r="A7" s="1"/>
      <c r="B7" s="1"/>
      <c r="C7" s="1"/>
      <c r="D7" s="16" t="s">
        <v>10</v>
      </c>
      <c r="E7" s="17" t="s">
        <v>11</v>
      </c>
      <c r="F7" s="17" t="s">
        <v>12</v>
      </c>
      <c r="G7" s="17" t="s">
        <v>10</v>
      </c>
      <c r="H7" s="17" t="s">
        <v>13</v>
      </c>
      <c r="I7" s="16" t="s">
        <v>12</v>
      </c>
    </row>
    <row r="8" spans="1:9" ht="14.4" x14ac:dyDescent="0.25">
      <c r="A8" s="1"/>
      <c r="B8" s="1"/>
      <c r="C8" s="1"/>
      <c r="D8" s="16"/>
      <c r="E8" s="16" t="s">
        <v>14</v>
      </c>
      <c r="F8" s="16" t="s">
        <v>15</v>
      </c>
      <c r="G8" s="16"/>
      <c r="H8" s="16" t="s">
        <v>14</v>
      </c>
      <c r="I8" s="16" t="s">
        <v>15</v>
      </c>
    </row>
    <row r="9" spans="1:9" ht="14.4" x14ac:dyDescent="0.25">
      <c r="A9" s="18"/>
      <c r="B9" s="18"/>
      <c r="C9" s="18"/>
      <c r="D9" s="19" t="s">
        <v>16</v>
      </c>
      <c r="E9" s="19" t="s">
        <v>16</v>
      </c>
      <c r="F9" s="19" t="s">
        <v>16</v>
      </c>
      <c r="G9" s="19" t="s">
        <v>17</v>
      </c>
      <c r="H9" s="19" t="s">
        <v>17</v>
      </c>
      <c r="I9" s="19" t="s">
        <v>17</v>
      </c>
    </row>
    <row r="10" spans="1:9" ht="14.4" x14ac:dyDescent="0.3">
      <c r="A10" s="20" t="s">
        <v>18</v>
      </c>
      <c r="B10" s="21"/>
      <c r="C10" s="21"/>
      <c r="D10" s="22" t="s">
        <v>19</v>
      </c>
      <c r="E10" s="22" t="s">
        <v>20</v>
      </c>
      <c r="F10" s="22" t="s">
        <v>21</v>
      </c>
      <c r="G10" s="22" t="s">
        <v>22</v>
      </c>
      <c r="H10" s="22" t="s">
        <v>23</v>
      </c>
      <c r="I10" s="22" t="s">
        <v>24</v>
      </c>
    </row>
    <row r="11" spans="1:9" ht="14.4" x14ac:dyDescent="0.3">
      <c r="A11" s="23" t="s">
        <v>25</v>
      </c>
      <c r="B11" s="24" t="s">
        <v>26</v>
      </c>
      <c r="C11" s="24"/>
      <c r="D11" s="25">
        <v>54270134.907492399</v>
      </c>
      <c r="E11" s="25">
        <v>32701790.590684999</v>
      </c>
      <c r="F11" s="25">
        <v>21568344.3168074</v>
      </c>
      <c r="G11" s="25">
        <v>164330.15444770901</v>
      </c>
      <c r="H11" s="25">
        <v>144874.83459872499</v>
      </c>
      <c r="I11" s="25">
        <v>19455.319848984302</v>
      </c>
    </row>
    <row r="12" spans="1:9" ht="14.4" x14ac:dyDescent="0.3">
      <c r="A12" s="23" t="s">
        <v>27</v>
      </c>
      <c r="B12" s="24" t="s">
        <v>28</v>
      </c>
      <c r="C12" s="24"/>
      <c r="D12" s="25">
        <v>7519356.0413995497</v>
      </c>
      <c r="E12" s="25">
        <v>6569623.5377636701</v>
      </c>
      <c r="F12" s="25">
        <v>949732.50363588496</v>
      </c>
      <c r="G12" s="25">
        <v>1214614.1850482901</v>
      </c>
      <c r="H12" s="25">
        <v>1070813.9948601399</v>
      </c>
      <c r="I12" s="25">
        <v>143800.19018814299</v>
      </c>
    </row>
    <row r="13" spans="1:9" ht="14.4" x14ac:dyDescent="0.3">
      <c r="A13" s="23" t="s">
        <v>29</v>
      </c>
      <c r="B13" s="24" t="s">
        <v>30</v>
      </c>
      <c r="C13" s="24"/>
      <c r="D13" s="25">
        <v>190926257.74684101</v>
      </c>
      <c r="E13" s="25">
        <v>112730841.264806</v>
      </c>
      <c r="F13" s="25">
        <v>78195416.482034698</v>
      </c>
      <c r="G13" s="25">
        <v>2401159.5548958802</v>
      </c>
      <c r="H13" s="25">
        <v>585098.62360363896</v>
      </c>
      <c r="I13" s="25">
        <v>1816060.93129224</v>
      </c>
    </row>
    <row r="14" spans="1:9" ht="14.4" x14ac:dyDescent="0.3">
      <c r="A14" s="23" t="s">
        <v>31</v>
      </c>
      <c r="B14" s="24" t="s">
        <v>32</v>
      </c>
      <c r="C14" s="24"/>
      <c r="D14" s="25">
        <v>707800253.46217501</v>
      </c>
      <c r="E14" s="25">
        <v>423729140.85992497</v>
      </c>
      <c r="F14" s="25">
        <v>284071112.60224998</v>
      </c>
      <c r="G14" s="25">
        <v>14527908.405785499</v>
      </c>
      <c r="H14" s="25">
        <v>3914637.7072121701</v>
      </c>
      <c r="I14" s="25">
        <v>10613270.698573399</v>
      </c>
    </row>
    <row r="15" spans="1:9" ht="14.4" x14ac:dyDescent="0.3">
      <c r="A15" s="23" t="s">
        <v>33</v>
      </c>
      <c r="B15" s="24" t="s">
        <v>34</v>
      </c>
      <c r="C15" s="24"/>
      <c r="D15" s="25">
        <v>228196109.43029901</v>
      </c>
      <c r="E15" s="25">
        <v>134442015.41531301</v>
      </c>
      <c r="F15" s="25">
        <v>93754094.014986604</v>
      </c>
      <c r="G15" s="25">
        <v>3726517.97446327</v>
      </c>
      <c r="H15" s="25">
        <v>1004671.59244453</v>
      </c>
      <c r="I15" s="25">
        <v>2721846.3820187398</v>
      </c>
    </row>
    <row r="16" spans="1:9" ht="14.4" x14ac:dyDescent="0.3">
      <c r="A16" s="23" t="s">
        <v>35</v>
      </c>
      <c r="B16" s="24" t="s">
        <v>36</v>
      </c>
      <c r="C16" s="24"/>
      <c r="D16" s="25">
        <v>86309130.214325294</v>
      </c>
      <c r="E16" s="25">
        <v>55172841.9585182</v>
      </c>
      <c r="F16" s="25">
        <v>31136288.255807001</v>
      </c>
      <c r="G16" s="25">
        <v>1494791.9949606799</v>
      </c>
      <c r="H16" s="25">
        <v>1108187.03645793</v>
      </c>
      <c r="I16" s="25">
        <v>386604.95850275602</v>
      </c>
    </row>
    <row r="17" spans="1:9" ht="14.4" x14ac:dyDescent="0.3">
      <c r="A17" s="23" t="s">
        <v>37</v>
      </c>
      <c r="B17" s="24" t="s">
        <v>38</v>
      </c>
      <c r="C17" s="24"/>
      <c r="D17" s="25">
        <v>64731847.6607439</v>
      </c>
      <c r="E17" s="25">
        <v>44410205.225431196</v>
      </c>
      <c r="F17" s="25">
        <v>20321642.4353128</v>
      </c>
      <c r="G17" s="25">
        <v>973732.71641686105</v>
      </c>
      <c r="H17" s="25">
        <v>412144.42755897902</v>
      </c>
      <c r="I17" s="25">
        <v>561588.28885788203</v>
      </c>
    </row>
    <row r="18" spans="1:9" ht="14.4" x14ac:dyDescent="0.3">
      <c r="A18" s="23" t="s">
        <v>39</v>
      </c>
      <c r="B18" s="24" t="s">
        <v>40</v>
      </c>
      <c r="C18" s="24"/>
      <c r="D18" s="25">
        <v>38577565.7776151</v>
      </c>
      <c r="E18" s="25">
        <v>35592376.754572503</v>
      </c>
      <c r="F18" s="25">
        <v>2985189.0230425801</v>
      </c>
      <c r="G18" s="25">
        <v>572603.83009419194</v>
      </c>
      <c r="H18" s="25">
        <v>295401.975916564</v>
      </c>
      <c r="I18" s="25">
        <v>277201.854177628</v>
      </c>
    </row>
    <row r="19" spans="1:9" ht="14.4" x14ac:dyDescent="0.3">
      <c r="A19" s="23" t="s">
        <v>41</v>
      </c>
      <c r="B19" s="24" t="s">
        <v>42</v>
      </c>
      <c r="C19" s="24"/>
      <c r="D19" s="25">
        <v>19615711.412346601</v>
      </c>
      <c r="E19" s="25">
        <v>17245440.084260698</v>
      </c>
      <c r="F19" s="25">
        <v>2370271.3280859301</v>
      </c>
      <c r="G19" s="25">
        <v>1846928.04020578</v>
      </c>
      <c r="H19" s="25">
        <v>754207.24619097798</v>
      </c>
      <c r="I19" s="25">
        <v>1092720.7940148001</v>
      </c>
    </row>
    <row r="20" spans="1:9" ht="14.4" x14ac:dyDescent="0.3">
      <c r="A20" s="23" t="s">
        <v>43</v>
      </c>
      <c r="B20" s="24" t="s">
        <v>44</v>
      </c>
      <c r="C20" s="24"/>
      <c r="D20" s="25">
        <v>14384855.0357209</v>
      </c>
      <c r="E20" s="25">
        <v>13028205.1809886</v>
      </c>
      <c r="F20" s="25">
        <v>1356649.8547322501</v>
      </c>
      <c r="G20" s="25">
        <v>1008435.9788468099</v>
      </c>
      <c r="H20" s="25">
        <v>603872.05040477798</v>
      </c>
      <c r="I20" s="25">
        <v>404563.92844203499</v>
      </c>
    </row>
    <row r="21" spans="1:9" ht="14.4" x14ac:dyDescent="0.3">
      <c r="A21" s="16" t="s">
        <v>45</v>
      </c>
      <c r="B21" s="24" t="s">
        <v>46</v>
      </c>
      <c r="C21" s="24"/>
      <c r="D21" s="25">
        <v>144829335.92782599</v>
      </c>
      <c r="E21" s="25">
        <v>123389301.857209</v>
      </c>
      <c r="F21" s="25">
        <v>21440034.0706173</v>
      </c>
      <c r="G21" s="25">
        <v>2370539.0292223901</v>
      </c>
      <c r="H21" s="25">
        <v>1225854.7061032201</v>
      </c>
      <c r="I21" s="25">
        <v>1144684.32311917</v>
      </c>
    </row>
    <row r="22" spans="1:9" ht="14.4" x14ac:dyDescent="0.3">
      <c r="A22" s="16" t="s">
        <v>47</v>
      </c>
      <c r="B22" s="24" t="s">
        <v>48</v>
      </c>
      <c r="C22" s="24"/>
      <c r="D22" s="25">
        <v>640779906.136657</v>
      </c>
      <c r="E22" s="25">
        <v>135399669.87914601</v>
      </c>
      <c r="F22" s="25">
        <v>505380236.25751102</v>
      </c>
      <c r="G22" s="25">
        <v>4106212.4928144999</v>
      </c>
      <c r="H22" s="25">
        <v>2437402.6700881901</v>
      </c>
      <c r="I22" s="25">
        <v>1668809.82272631</v>
      </c>
    </row>
    <row r="23" spans="1:9" ht="14.4" x14ac:dyDescent="0.3">
      <c r="A23" s="16" t="s">
        <v>49</v>
      </c>
      <c r="B23" s="24" t="s">
        <v>50</v>
      </c>
      <c r="C23" s="24"/>
      <c r="D23" s="25">
        <v>10461712.7532515</v>
      </c>
      <c r="E23" s="25">
        <v>4745736.6320193401</v>
      </c>
      <c r="F23" s="25">
        <v>5715976.1212322004</v>
      </c>
      <c r="G23" s="25">
        <v>2490469.4214435401</v>
      </c>
      <c r="H23" s="25">
        <v>256833.739766938</v>
      </c>
      <c r="I23" s="25">
        <v>2233635.6816766099</v>
      </c>
    </row>
    <row r="24" spans="1:9" ht="14.4" x14ac:dyDescent="0.3">
      <c r="A24" s="16" t="s">
        <v>51</v>
      </c>
      <c r="B24" s="24" t="s">
        <v>52</v>
      </c>
      <c r="C24" s="24"/>
      <c r="D24" s="25">
        <v>6538570.4707822204</v>
      </c>
      <c r="E24" s="25">
        <v>4684957.0351399099</v>
      </c>
      <c r="F24" s="25">
        <v>1853613.43564231</v>
      </c>
      <c r="G24" s="25">
        <v>551169.46212275198</v>
      </c>
      <c r="H24" s="25">
        <v>407608.09425602597</v>
      </c>
      <c r="I24" s="25">
        <v>143561.36786672601</v>
      </c>
    </row>
    <row r="25" spans="1:9" ht="14.4" x14ac:dyDescent="0.3">
      <c r="A25" s="16" t="s">
        <v>53</v>
      </c>
      <c r="B25" s="24" t="s">
        <v>54</v>
      </c>
      <c r="C25" s="24"/>
      <c r="D25" s="25">
        <v>8173213.0884777699</v>
      </c>
      <c r="E25" s="25">
        <v>6045603.2776023904</v>
      </c>
      <c r="F25" s="25">
        <v>2127609.8108753799</v>
      </c>
      <c r="G25" s="25">
        <v>601182.987389446</v>
      </c>
      <c r="H25" s="25">
        <v>54430.6061827679</v>
      </c>
      <c r="I25" s="25">
        <v>546752.38120667799</v>
      </c>
    </row>
    <row r="26" spans="1:9" ht="14.4" x14ac:dyDescent="0.3">
      <c r="A26" s="16" t="s">
        <v>55</v>
      </c>
      <c r="B26" s="24" t="s">
        <v>56</v>
      </c>
      <c r="C26" s="24"/>
      <c r="D26" s="25">
        <v>17327211.747572899</v>
      </c>
      <c r="E26" s="25">
        <v>9754129.6900672503</v>
      </c>
      <c r="F26" s="25">
        <v>7573082.05750563</v>
      </c>
      <c r="G26" s="25">
        <v>546066.04117717105</v>
      </c>
      <c r="H26" s="25">
        <v>329201.93899304903</v>
      </c>
      <c r="I26" s="25">
        <v>216864.102184121</v>
      </c>
    </row>
    <row r="27" spans="1:9" ht="14.4" x14ac:dyDescent="0.3">
      <c r="A27" s="16" t="s">
        <v>57</v>
      </c>
      <c r="B27" s="24" t="s">
        <v>58</v>
      </c>
      <c r="C27" s="24"/>
      <c r="D27" s="25">
        <v>0</v>
      </c>
      <c r="E27" s="25">
        <v>0</v>
      </c>
      <c r="F27" s="25">
        <v>0</v>
      </c>
      <c r="G27" s="25">
        <v>11737.8681748364</v>
      </c>
      <c r="H27" s="25">
        <v>11737.8681748364</v>
      </c>
      <c r="I27" s="25">
        <v>0</v>
      </c>
    </row>
    <row r="28" spans="1:9" ht="14.4" x14ac:dyDescent="0.3">
      <c r="A28" s="16" t="s">
        <v>59</v>
      </c>
      <c r="B28" s="24" t="s">
        <v>60</v>
      </c>
      <c r="C28" s="24"/>
      <c r="D28" s="25">
        <v>6538570.4707822204</v>
      </c>
      <c r="E28" s="25">
        <v>3609527.5902055702</v>
      </c>
      <c r="F28" s="25">
        <v>2929042.8805766501</v>
      </c>
      <c r="G28" s="25">
        <v>1232476.15835782</v>
      </c>
      <c r="H28" s="25">
        <v>455616.18633004598</v>
      </c>
      <c r="I28" s="25">
        <v>776859.97202777397</v>
      </c>
    </row>
    <row r="29" spans="1:9" ht="14.4" x14ac:dyDescent="0.3">
      <c r="A29" s="16" t="s">
        <v>61</v>
      </c>
      <c r="B29" s="24" t="s">
        <v>62</v>
      </c>
      <c r="C29" s="24"/>
      <c r="D29" s="25">
        <v>6538570.4707822204</v>
      </c>
      <c r="E29" s="25">
        <v>6240005.6091026599</v>
      </c>
      <c r="F29" s="25">
        <v>298564.861679553</v>
      </c>
      <c r="G29" s="25">
        <v>565969.38286493695</v>
      </c>
      <c r="H29" s="25">
        <v>405904.97011964303</v>
      </c>
      <c r="I29" s="25">
        <v>160064.412745293</v>
      </c>
    </row>
    <row r="30" spans="1:9" ht="14.4" x14ac:dyDescent="0.3">
      <c r="A30" s="16" t="s">
        <v>63</v>
      </c>
      <c r="B30" s="24" t="s">
        <v>64</v>
      </c>
      <c r="C30" s="24"/>
      <c r="D30" s="25"/>
      <c r="E30" s="25">
        <v>0</v>
      </c>
      <c r="F30" s="25">
        <v>0</v>
      </c>
      <c r="G30" s="25">
        <v>113806.287086457</v>
      </c>
      <c r="H30" s="25">
        <v>113806.287086457</v>
      </c>
      <c r="I30" s="25">
        <v>0</v>
      </c>
    </row>
    <row r="31" spans="1:9" ht="14.4" x14ac:dyDescent="0.3">
      <c r="A31" s="26" t="s">
        <v>65</v>
      </c>
      <c r="B31" s="21"/>
      <c r="C31" s="21"/>
      <c r="D31" s="27">
        <f t="shared" ref="D31:I31" si="0">SUM(D11:D30)</f>
        <v>2253518312.7550907</v>
      </c>
      <c r="E31" s="27">
        <f t="shared" si="0"/>
        <v>1169491412.4427559</v>
      </c>
      <c r="F31" s="27">
        <f t="shared" si="0"/>
        <v>1084026900.3123353</v>
      </c>
      <c r="G31" s="27">
        <f t="shared" si="0"/>
        <v>40520651.965818822</v>
      </c>
      <c r="H31" s="27">
        <f t="shared" si="0"/>
        <v>15592306.556349609</v>
      </c>
      <c r="I31" s="27">
        <f t="shared" si="0"/>
        <v>24928345.409469288</v>
      </c>
    </row>
    <row r="32" spans="1:9" ht="14.4" x14ac:dyDescent="0.3">
      <c r="A32" s="29" t="s">
        <v>69</v>
      </c>
      <c r="B32" s="28"/>
      <c r="C32" s="28"/>
      <c r="D32" s="30">
        <v>2519655019.4730902</v>
      </c>
      <c r="E32" s="30">
        <v>1307606373.0715799</v>
      </c>
      <c r="F32" s="30">
        <v>1212048646.40151</v>
      </c>
      <c r="G32" s="30">
        <v>37788847.908055201</v>
      </c>
      <c r="H32" s="30">
        <v>14541111.0732053</v>
      </c>
      <c r="I32" s="30">
        <v>23247736.834849901</v>
      </c>
    </row>
    <row r="33" spans="1:9" ht="14.4" x14ac:dyDescent="0.25">
      <c r="A33" s="31" t="s">
        <v>68</v>
      </c>
      <c r="B33" s="1"/>
      <c r="C33" s="1"/>
      <c r="D33" s="24">
        <v>2323434000.6900001</v>
      </c>
      <c r="E33" s="24">
        <v>1205775030.01</v>
      </c>
      <c r="F33" s="24">
        <v>1117658970.6800001</v>
      </c>
      <c r="G33" s="24">
        <v>34646749.289999999</v>
      </c>
      <c r="H33" s="24">
        <v>13332034.65</v>
      </c>
      <c r="I33" s="24">
        <v>21314714.640000001</v>
      </c>
    </row>
    <row r="34" spans="1:9" ht="14.4" x14ac:dyDescent="0.25">
      <c r="A34" s="31" t="s">
        <v>67</v>
      </c>
      <c r="B34" s="1"/>
      <c r="C34" s="1"/>
      <c r="D34" s="24">
        <v>2117529602</v>
      </c>
      <c r="E34" s="24">
        <v>1007518516</v>
      </c>
      <c r="F34" s="24">
        <v>1110011084</v>
      </c>
      <c r="G34" s="24">
        <v>31203807</v>
      </c>
      <c r="H34" s="24">
        <v>12767372</v>
      </c>
      <c r="I34" s="24">
        <v>18436435</v>
      </c>
    </row>
    <row r="35" spans="1:9" ht="15" thickBot="1" x14ac:dyDescent="0.35">
      <c r="A35" s="32" t="s">
        <v>66</v>
      </c>
      <c r="B35" s="33"/>
      <c r="C35" s="33"/>
      <c r="D35" s="34">
        <v>2267107700</v>
      </c>
      <c r="E35" s="34">
        <v>1078687628.3368101</v>
      </c>
      <c r="F35" s="34">
        <v>1188420071.6631899</v>
      </c>
      <c r="G35" s="34">
        <v>29750631</v>
      </c>
      <c r="H35" s="34">
        <v>0</v>
      </c>
      <c r="I35" s="34">
        <v>29750631</v>
      </c>
    </row>
    <row r="36" spans="1:9" ht="15" thickTop="1" x14ac:dyDescent="0.3">
      <c r="A36" s="35" t="s">
        <v>70</v>
      </c>
      <c r="B36" s="7"/>
      <c r="C36" s="7"/>
      <c r="D36" s="7"/>
      <c r="E36" s="7"/>
      <c r="F36" s="7"/>
      <c r="G36" s="7"/>
      <c r="H36" s="7"/>
      <c r="I36" s="7"/>
    </row>
    <row r="37" spans="1:9" ht="12.75" customHeight="1" x14ac:dyDescent="0.3">
      <c r="A37" s="2"/>
      <c r="B37" s="2"/>
      <c r="C37" s="2"/>
      <c r="D37" s="2"/>
      <c r="E37" s="2"/>
      <c r="F37" s="2"/>
      <c r="G37" s="2"/>
      <c r="H37" s="2"/>
      <c r="I37" s="2"/>
    </row>
    <row r="38" spans="1:9" ht="12.75" customHeight="1" x14ac:dyDescent="0.3">
      <c r="A38" s="2"/>
      <c r="B38" s="2"/>
      <c r="C38" s="2"/>
      <c r="D38" s="2"/>
      <c r="E38" s="2"/>
      <c r="F38" s="2"/>
      <c r="G38" s="2"/>
      <c r="H38" s="2"/>
      <c r="I38" s="2"/>
    </row>
    <row r="39" spans="1:9" ht="12.75" customHeight="1" x14ac:dyDescent="0.3">
      <c r="A39" s="36"/>
      <c r="B39" s="2"/>
      <c r="C39" s="2"/>
      <c r="D39" s="2"/>
      <c r="E39" s="2"/>
      <c r="F39" s="2"/>
      <c r="G39" s="2"/>
      <c r="H39" s="2"/>
      <c r="I39" s="2"/>
    </row>
    <row r="40" spans="1:9" ht="12.75" customHeight="1" x14ac:dyDescent="0.3">
      <c r="A40" s="2"/>
      <c r="B40" s="2"/>
      <c r="C40" s="2"/>
      <c r="D40" s="2"/>
      <c r="E40" s="2"/>
      <c r="F40" s="2"/>
      <c r="G40" s="2"/>
      <c r="H40" s="2"/>
      <c r="I40" s="2"/>
    </row>
    <row r="41" spans="1:9" ht="12.75" customHeight="1" x14ac:dyDescent="0.3">
      <c r="A41" s="2"/>
      <c r="B41" s="2"/>
      <c r="C41" s="2"/>
      <c r="D41" s="2"/>
      <c r="E41" s="2"/>
      <c r="F41" s="2"/>
      <c r="G41" s="2"/>
      <c r="H41" s="2"/>
      <c r="I41" s="2"/>
    </row>
    <row r="42" spans="1:9" ht="12.75" customHeight="1" x14ac:dyDescent="0.3">
      <c r="A42" s="2"/>
      <c r="B42" s="2"/>
      <c r="C42" s="2"/>
      <c r="D42" s="2"/>
      <c r="E42" s="2"/>
      <c r="F42" s="2"/>
      <c r="G42" s="2"/>
      <c r="H42" s="2"/>
      <c r="I42" s="2"/>
    </row>
    <row r="43" spans="1:9" ht="12.75" customHeight="1" x14ac:dyDescent="0.3">
      <c r="A43" s="2"/>
      <c r="B43" s="2"/>
      <c r="C43" s="2"/>
      <c r="D43" s="2"/>
      <c r="E43" s="2"/>
      <c r="F43" s="2"/>
      <c r="G43" s="2"/>
      <c r="H43" s="2"/>
      <c r="I43" s="2"/>
    </row>
    <row r="44" spans="1:9" ht="12.75" customHeight="1" x14ac:dyDescent="0.3">
      <c r="A44" s="2"/>
      <c r="B44" s="2"/>
      <c r="C44" s="2"/>
      <c r="D44" s="2"/>
      <c r="E44" s="2"/>
      <c r="F44" s="2"/>
      <c r="G44" s="2"/>
      <c r="H44" s="2"/>
      <c r="I44" s="2"/>
    </row>
    <row r="45" spans="1:9" ht="12.75" customHeight="1" x14ac:dyDescent="0.3">
      <c r="A45" s="2"/>
      <c r="B45" s="2"/>
      <c r="C45" s="2"/>
      <c r="D45" s="2"/>
      <c r="E45" s="2"/>
      <c r="F45" s="2"/>
      <c r="G45" s="2"/>
      <c r="H45" s="2"/>
      <c r="I45" s="2"/>
    </row>
    <row r="46" spans="1:9" ht="12.75" customHeight="1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9" ht="12.75" customHeight="1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9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</row>
    <row r="59" spans="1:9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</row>
    <row r="60" spans="1:9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</row>
    <row r="61" spans="1:9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</row>
    <row r="64" spans="1:9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</row>
    <row r="65" spans="1:9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</row>
    <row r="66" spans="1:9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</row>
    <row r="67" spans="1:9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</row>
    <row r="68" spans="1:9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</row>
    <row r="69" spans="1:9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</row>
    <row r="70" spans="1:9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</row>
    <row r="71" spans="1:9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</row>
    <row r="72" spans="1:9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</row>
    <row r="73" spans="1:9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</row>
    <row r="75" spans="1:9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</row>
    <row r="76" spans="1:9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</row>
    <row r="77" spans="1:9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</row>
    <row r="78" spans="1:9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</row>
    <row r="79" spans="1:9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</row>
    <row r="80" spans="1:9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</row>
    <row r="81" spans="1:9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</row>
    <row r="82" spans="1:9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</row>
    <row r="84" spans="1:9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</row>
    <row r="85" spans="1:9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</row>
    <row r="86" spans="1:9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</row>
    <row r="87" spans="1:9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</row>
    <row r="88" spans="1:9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</row>
    <row r="89" spans="1:9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</row>
    <row r="90" spans="1:9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</row>
    <row r="91" spans="1:9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</row>
    <row r="92" spans="1:9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</row>
    <row r="93" spans="1:9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</row>
    <row r="94" spans="1:9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</row>
    <row r="95" spans="1:9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</row>
    <row r="96" spans="1:9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</row>
    <row r="97" spans="1:9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</row>
    <row r="98" spans="1:9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</row>
    <row r="99" spans="1:9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</row>
    <row r="100" spans="1:9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</row>
    <row r="101" spans="1:9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</row>
    <row r="103" spans="1:9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</row>
    <row r="104" spans="1:9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</row>
    <row r="105" spans="1:9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</row>
    <row r="106" spans="1:9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</row>
    <row r="225" spans="1:9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</row>
    <row r="227" spans="1:9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</row>
    <row r="228" spans="1:9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</row>
    <row r="230" spans="1:9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</row>
    <row r="231" spans="1:9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</row>
    <row r="233" spans="1:9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</row>
    <row r="234" spans="1:9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</row>
    <row r="235" spans="1:9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</row>
    <row r="236" spans="1:9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</row>
    <row r="237" spans="1:9" ht="15.75" customHeight="1" x14ac:dyDescent="0.25"/>
    <row r="238" spans="1:9" ht="15.75" customHeight="1" x14ac:dyDescent="0.25"/>
    <row r="239" spans="1:9" ht="15.75" customHeight="1" x14ac:dyDescent="0.25"/>
    <row r="240" spans="1: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5">
    <mergeCell ref="A35:C35"/>
    <mergeCell ref="A34:C34"/>
    <mergeCell ref="A33:C33"/>
    <mergeCell ref="A31:C31"/>
    <mergeCell ref="A32:C32"/>
    <mergeCell ref="A10:C10"/>
    <mergeCell ref="A6:C9"/>
    <mergeCell ref="D6:F6"/>
    <mergeCell ref="G6:I6"/>
    <mergeCell ref="C5:I5"/>
    <mergeCell ref="C4:I4"/>
    <mergeCell ref="C3:I3"/>
    <mergeCell ref="C2:I2"/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2025-07-14T07:35:31Z</dcterms:created>
  <dcterms:modified xsi:type="dcterms:W3CDTF">2025-07-14T07:35:46Z</dcterms:modified>
</cp:coreProperties>
</file>